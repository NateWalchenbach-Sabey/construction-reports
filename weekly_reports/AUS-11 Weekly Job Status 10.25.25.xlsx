
<file path=[Content_Types].xml><?xml version="1.0" encoding="utf-8"?>
<Types xmlns="http://schemas.openxmlformats.org/package/2006/content-types">
  <Default Extension="bin" ContentType="application/vnd.openxmlformats-officedocument.spreadsheetml.printerSettings"/>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defaultThemeVersion="124226"/>
  <mc:AlternateContent xmlns:mc="http://schemas.openxmlformats.org/markup-compatibility/2006">
    <mc:Choice Requires="x15">
      <x15ac:absPath xmlns:x15ac="http://schemas.microsoft.com/office/spreadsheetml/2010/11/ac" url="C:\Users\dales\Desktop\Weekly Reports\"/>
    </mc:Choice>
  </mc:AlternateContent>
  <xr:revisionPtr revIDLastSave="0" documentId="13_ncr:1_{CA0C444D-73FD-4788-AC80-30623C1879E3}" xr6:coauthVersionLast="47" xr6:coauthVersionMax="47" xr10:uidLastSave="{00000000-0000-0000-0000-000000000000}"/>
  <bookViews>
    <workbookView xWindow="-120" yWindow="-120" windowWidth="29040" windowHeight="15720" xr2:uid="{00000000-000D-0000-FFFF-FFFF00000000}"/>
  </bookViews>
  <sheets>
    <sheet name="Page 1" sheetId="1" r:id="rId1"/>
    <sheet name="Sheet1" sheetId="2" r:id="rId2"/>
  </sheets>
  <definedNames>
    <definedName name="_xlnm.Print_Area" localSheetId="0">'Page 1'!$A$1:$G$40</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G15" i="1" l="1"/>
  <c r="G17" i="1" s="1"/>
</calcChain>
</file>

<file path=xl/sharedStrings.xml><?xml version="1.0" encoding="utf-8"?>
<sst xmlns="http://schemas.openxmlformats.org/spreadsheetml/2006/main" count="92" uniqueCount="78">
  <si>
    <t>Weekly Job Status Report</t>
  </si>
  <si>
    <t>Week Ending:</t>
  </si>
  <si>
    <t>PROJECT NAME:</t>
  </si>
  <si>
    <t>PROJECT NUMBER:</t>
  </si>
  <si>
    <t>ARCHITECT:</t>
  </si>
  <si>
    <t>SABEY PROJECT STAFF</t>
  </si>
  <si>
    <t>START DATE:</t>
  </si>
  <si>
    <t>SCHEDULED COMPLETION:</t>
  </si>
  <si>
    <t>PROJECT % COMPLETE:</t>
  </si>
  <si>
    <t>APPROVED CHANGE ORDERS:</t>
  </si>
  <si>
    <t>EST. COST AT COMPLETION:</t>
  </si>
  <si>
    <t>SCHEDULE STATUS:</t>
  </si>
  <si>
    <t>WORK PERFORMED:</t>
  </si>
  <si>
    <t>Company</t>
  </si>
  <si>
    <t xml:space="preserve"> </t>
  </si>
  <si>
    <t>Craft</t>
  </si>
  <si>
    <t xml:space="preserve"> TEAM</t>
  </si>
  <si>
    <t xml:space="preserve">Sabey </t>
  </si>
  <si>
    <t>BUDGET:</t>
  </si>
  <si>
    <t>Trade Workers</t>
  </si>
  <si>
    <t>CURRENT PROJECTED (+/-)</t>
  </si>
  <si>
    <t>REVISED BUDGET</t>
  </si>
  <si>
    <t>GC</t>
  </si>
  <si>
    <t>Electrical</t>
  </si>
  <si>
    <t xml:space="preserve">ON SCHEDULE - </t>
  </si>
  <si>
    <t>Mechanical</t>
  </si>
  <si>
    <t>Framing / GWB</t>
  </si>
  <si>
    <t>Roofing</t>
  </si>
  <si>
    <t>Concrete Restoration</t>
  </si>
  <si>
    <t>D/F/H</t>
  </si>
  <si>
    <t>Fire Sprinklers</t>
  </si>
  <si>
    <t>Fire Detection</t>
  </si>
  <si>
    <t>AAR Testing</t>
  </si>
  <si>
    <t>Strut Grid / ACT</t>
  </si>
  <si>
    <t>Fireproofing</t>
  </si>
  <si>
    <t>Sabey</t>
  </si>
  <si>
    <t>SAFETY / NEAR MISSES:</t>
  </si>
  <si>
    <t>UPCOMING WORK:</t>
  </si>
  <si>
    <t>Corgan</t>
  </si>
  <si>
    <r>
      <t>Prepared By</t>
    </r>
    <r>
      <rPr>
        <b/>
        <sz val="11"/>
        <color theme="1"/>
        <rFont val="Calibri"/>
        <family val="2"/>
        <scheme val="minor"/>
      </rPr>
      <t>: Peter Mar</t>
    </r>
  </si>
  <si>
    <t>PCI</t>
  </si>
  <si>
    <t>TBD</t>
  </si>
  <si>
    <t>Seimens</t>
  </si>
  <si>
    <t>Drywall</t>
  </si>
  <si>
    <t>Mechanical - Mck</t>
  </si>
  <si>
    <t>Mckinstry - McK</t>
  </si>
  <si>
    <t>Electrical - BSE</t>
  </si>
  <si>
    <t>Big State Electric - BSE</t>
  </si>
  <si>
    <t>McKinstry - McK</t>
  </si>
  <si>
    <t>SDC AUS-A11 9MW Data Hall Build Out</t>
  </si>
  <si>
    <t>24-4-022 / 24-8-022</t>
  </si>
  <si>
    <t>Demo</t>
  </si>
  <si>
    <t>TENANT:</t>
  </si>
  <si>
    <t>Jane Street</t>
  </si>
  <si>
    <t>Chasco</t>
  </si>
  <si>
    <t>Alfred Ngang, Golden Eke, Jon Hunter, Sara Bigon, Don Fields, Peter Mar</t>
  </si>
  <si>
    <t>Celing</t>
  </si>
  <si>
    <t>Medel</t>
  </si>
  <si>
    <t>Drywall Finish/Paint</t>
  </si>
  <si>
    <t>Supression Systems - McK</t>
  </si>
  <si>
    <t>Tindall</t>
  </si>
  <si>
    <t>Precast</t>
  </si>
  <si>
    <t>Paint</t>
  </si>
  <si>
    <t>EDCs</t>
  </si>
  <si>
    <t>SWMCO</t>
  </si>
  <si>
    <t>Specialty Sub</t>
  </si>
  <si>
    <t>Raised Floor</t>
  </si>
  <si>
    <t>Flooring</t>
  </si>
  <si>
    <t>Prestige</t>
  </si>
  <si>
    <t>Doors</t>
  </si>
  <si>
    <t>General trash clean up and sweeping.  Moving material and equipment to facilitate work in progress. Clean and wipe down of EDCs in Yard C.</t>
  </si>
  <si>
    <t>QES</t>
  </si>
  <si>
    <t>Repairs on EDCs.  ABB working on UPS units in EDCs.</t>
  </si>
  <si>
    <t>Prestart up and Cx repairs.  Dam install in mech gallery.  Tie in sealing of dog-houses on the roof for CHWP.</t>
  </si>
  <si>
    <t>OH conduit install and conduit down to electrical gear on the east side. Wire pulling during evening shift and conduit install in electrial mechanical room.  Cable bus wire pull in Yard C.</t>
  </si>
  <si>
    <t>L3 Start Ups on Electrical Gear</t>
  </si>
  <si>
    <t>*Includes some JS sub costs. Move to JS Fit Out job once approved.</t>
  </si>
  <si>
    <t>None to report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</si>
</sst>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6">
    <numFmt numFmtId="5" formatCode="&quot;$&quot;#,##0_);\(&quot;$&quot;#,##0\)"/>
    <numFmt numFmtId="6" formatCode="&quot;$&quot;#,##0_);[Red]\(&quot;$&quot;#,##0\)"/>
    <numFmt numFmtId="42" formatCode="_(&quot;$&quot;* #,##0_);_(&quot;$&quot;* \(#,##0\);_(&quot;$&quot;* &quot;-&quot;_);_(@_)"/>
    <numFmt numFmtId="44" formatCode="_(&quot;$&quot;* #,##0.00_);_(&quot;$&quot;* \(#,##0.00\);_(&quot;$&quot;* &quot;-&quot;??_);_(@_)"/>
    <numFmt numFmtId="164" formatCode="_(&quot;$&quot;* #,##0_);_(&quot;$&quot;* \(#,##0\);_(&quot;$&quot;* &quot;-&quot;??_);_(@_)"/>
    <numFmt numFmtId="165" formatCode="0.0%"/>
  </numFmts>
  <fonts count="7" x14ac:knownFonts="1">
    <font>
      <sz val="11"/>
      <color theme="1"/>
      <name val="Calibri"/>
      <family val="2"/>
      <scheme val="minor"/>
    </font>
    <font>
      <b/>
      <sz val="11"/>
      <color theme="1"/>
      <name val="Calibri"/>
      <family val="2"/>
      <scheme val="minor"/>
    </font>
    <font>
      <sz val="11"/>
      <color theme="1"/>
      <name val="Calibri"/>
      <family val="2"/>
      <scheme val="minor"/>
    </font>
    <font>
      <b/>
      <sz val="18"/>
      <color theme="1"/>
      <name val="Calibri"/>
      <family val="2"/>
      <scheme val="minor"/>
    </font>
    <font>
      <sz val="11"/>
      <name val="Calibri"/>
      <family val="2"/>
      <scheme val="minor"/>
    </font>
    <font>
      <b/>
      <u/>
      <sz val="11"/>
      <color theme="1"/>
      <name val="Calibri"/>
      <family val="2"/>
      <scheme val="minor"/>
    </font>
    <font>
      <sz val="11"/>
      <color rgb="FFFF0000"/>
      <name val="Calibri"/>
      <family val="2"/>
      <scheme val="minor"/>
    </font>
  </fonts>
  <fills count="4">
    <fill>
      <patternFill patternType="none"/>
    </fill>
    <fill>
      <patternFill patternType="gray125"/>
    </fill>
    <fill>
      <patternFill patternType="solid">
        <fgColor theme="0"/>
        <bgColor indexed="64"/>
      </patternFill>
    </fill>
    <fill>
      <patternFill patternType="solid">
        <fgColor rgb="FF92D050"/>
        <bgColor indexed="64"/>
      </patternFill>
    </fill>
  </fills>
  <borders count="7">
    <border>
      <left/>
      <right/>
      <top/>
      <bottom/>
      <diagonal/>
    </border>
    <border>
      <left/>
      <right/>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auto="1"/>
      </left>
      <right style="thin">
        <color auto="1"/>
      </right>
      <top style="thin">
        <color auto="1"/>
      </top>
      <bottom style="thin">
        <color auto="1"/>
      </bottom>
      <diagonal/>
    </border>
    <border>
      <left style="medium">
        <color indexed="64"/>
      </left>
      <right style="thin">
        <color indexed="64"/>
      </right>
      <top style="thin">
        <color indexed="64"/>
      </top>
      <bottom style="thin">
        <color indexed="64"/>
      </bottom>
      <diagonal/>
    </border>
  </borders>
  <cellStyleXfs count="3">
    <xf numFmtId="0" fontId="0" fillId="0" borderId="0"/>
    <xf numFmtId="44" fontId="2" fillId="0" borderId="0" applyFont="0" applyFill="0" applyBorder="0" applyAlignment="0" applyProtection="0"/>
    <xf numFmtId="9" fontId="2" fillId="0" borderId="0" applyFont="0" applyFill="0" applyBorder="0" applyAlignment="0" applyProtection="0"/>
  </cellStyleXfs>
  <cellXfs count="38">
    <xf numFmtId="0" fontId="0" fillId="0" borderId="0" xfId="0"/>
    <xf numFmtId="42" fontId="0" fillId="0" borderId="0" xfId="0" applyNumberFormat="1"/>
    <xf numFmtId="0" fontId="0" fillId="2" borderId="0" xfId="0" applyFill="1"/>
    <xf numFmtId="14" fontId="0" fillId="0" borderId="1" xfId="0" applyNumberFormat="1" applyBorder="1"/>
    <xf numFmtId="0" fontId="1" fillId="0" borderId="0" xfId="0" applyFont="1"/>
    <xf numFmtId="9" fontId="2" fillId="0" borderId="0" xfId="2"/>
    <xf numFmtId="6" fontId="0" fillId="0" borderId="0" xfId="0" applyNumberFormat="1"/>
    <xf numFmtId="5" fontId="0" fillId="0" borderId="1" xfId="1" applyNumberFormat="1" applyFont="1" applyBorder="1"/>
    <xf numFmtId="5" fontId="0" fillId="0" borderId="2" xfId="1" applyNumberFormat="1" applyFont="1" applyBorder="1"/>
    <xf numFmtId="6" fontId="4" fillId="0" borderId="1" xfId="1" applyNumberFormat="1" applyFont="1" applyBorder="1"/>
    <xf numFmtId="164" fontId="0" fillId="0" borderId="1" xfId="1" applyNumberFormat="1" applyFont="1" applyBorder="1"/>
    <xf numFmtId="16" fontId="1" fillId="0" borderId="5" xfId="0" applyNumberFormat="1" applyFont="1" applyBorder="1" applyAlignment="1">
      <alignment horizontal="left" vertical="top"/>
    </xf>
    <xf numFmtId="0" fontId="0" fillId="0" borderId="0" xfId="0" applyAlignment="1">
      <alignment horizontal="left" vertical="top" wrapText="1"/>
    </xf>
    <xf numFmtId="16" fontId="0" fillId="0" borderId="0" xfId="0" applyNumberFormat="1" applyAlignment="1">
      <alignment horizontal="left" vertical="top" wrapText="1"/>
    </xf>
    <xf numFmtId="14" fontId="0" fillId="2" borderId="6" xfId="0" applyNumberFormat="1" applyFill="1" applyBorder="1" applyAlignment="1">
      <alignment horizontal="center"/>
    </xf>
    <xf numFmtId="9" fontId="1" fillId="2" borderId="6" xfId="2" applyFont="1" applyFill="1" applyBorder="1" applyAlignment="1">
      <alignment horizontal="center" vertical="center"/>
    </xf>
    <xf numFmtId="165" fontId="1" fillId="2" borderId="6" xfId="2" applyNumberFormat="1" applyFont="1" applyFill="1" applyBorder="1" applyAlignment="1">
      <alignment horizontal="center" vertical="center"/>
    </xf>
    <xf numFmtId="0" fontId="0" fillId="0" borderId="5" xfId="0" applyBorder="1" applyAlignment="1">
      <alignment horizontal="left" vertical="top"/>
    </xf>
    <xf numFmtId="0" fontId="0" fillId="0" borderId="5" xfId="0" applyBorder="1" applyAlignment="1">
      <alignment horizontal="left" vertical="top" wrapText="1"/>
    </xf>
    <xf numFmtId="0" fontId="3" fillId="0" borderId="0" xfId="0" applyFont="1" applyAlignment="1">
      <alignment horizontal="center"/>
    </xf>
    <xf numFmtId="0" fontId="1" fillId="0" borderId="0" xfId="0" applyFont="1" applyAlignment="1">
      <alignment horizontal="center"/>
    </xf>
    <xf numFmtId="0" fontId="1" fillId="0" borderId="5" xfId="0" applyFont="1" applyBorder="1" applyAlignment="1">
      <alignment horizontal="center" vertical="center" wrapText="1"/>
    </xf>
    <xf numFmtId="0" fontId="1" fillId="0" borderId="0" xfId="0" applyFont="1"/>
    <xf numFmtId="0" fontId="0" fillId="0" borderId="1" xfId="0" applyBorder="1" applyAlignment="1">
      <alignment horizontal="left"/>
    </xf>
    <xf numFmtId="14" fontId="0" fillId="0" borderId="1" xfId="0" applyNumberFormat="1" applyBorder="1" applyAlignment="1">
      <alignment horizontal="left"/>
    </xf>
    <xf numFmtId="0" fontId="0" fillId="3" borderId="4" xfId="0" applyFill="1" applyBorder="1" applyAlignment="1">
      <alignment wrapText="1"/>
    </xf>
    <xf numFmtId="0" fontId="0" fillId="3" borderId="2" xfId="0" applyFill="1" applyBorder="1" applyAlignment="1">
      <alignment wrapText="1"/>
    </xf>
    <xf numFmtId="0" fontId="0" fillId="3" borderId="3" xfId="0" applyFill="1" applyBorder="1" applyAlignment="1">
      <alignment wrapText="1"/>
    </xf>
    <xf numFmtId="0" fontId="0" fillId="0" borderId="0" xfId="0"/>
    <xf numFmtId="0" fontId="0" fillId="0" borderId="5" xfId="0" applyBorder="1" applyAlignment="1">
      <alignment horizontal="center"/>
    </xf>
    <xf numFmtId="0" fontId="0" fillId="0" borderId="5" xfId="0" applyBorder="1" applyAlignment="1">
      <alignment horizontal="left"/>
    </xf>
    <xf numFmtId="16" fontId="5" fillId="0" borderId="0" xfId="0" applyNumberFormat="1" applyFont="1" applyAlignment="1">
      <alignment horizontal="left" vertical="top" wrapText="1"/>
    </xf>
    <xf numFmtId="16" fontId="0" fillId="0" borderId="4" xfId="0" applyNumberFormat="1" applyBorder="1" applyAlignment="1">
      <alignment horizontal="left" vertical="top" wrapText="1"/>
    </xf>
    <xf numFmtId="16" fontId="0" fillId="0" borderId="2" xfId="0" applyNumberFormat="1" applyBorder="1" applyAlignment="1">
      <alignment horizontal="left" vertical="top" wrapText="1"/>
    </xf>
    <xf numFmtId="16" fontId="0" fillId="0" borderId="3" xfId="0" applyNumberFormat="1" applyBorder="1" applyAlignment="1">
      <alignment horizontal="left" vertical="top" wrapText="1"/>
    </xf>
    <xf numFmtId="16" fontId="4" fillId="0" borderId="4" xfId="0" applyNumberFormat="1" applyFont="1" applyBorder="1" applyAlignment="1">
      <alignment horizontal="left" vertical="top" wrapText="1"/>
    </xf>
    <xf numFmtId="42" fontId="6" fillId="0" borderId="2" xfId="0" applyNumberFormat="1" applyFont="1" applyBorder="1" applyAlignment="1">
      <alignment wrapText="1"/>
    </xf>
    <xf numFmtId="0" fontId="6" fillId="0" borderId="2" xfId="0" applyFont="1" applyBorder="1" applyAlignment="1">
      <alignment wrapText="1"/>
    </xf>
  </cellXfs>
  <cellStyles count="3">
    <cellStyle name="Currency" xfId="1" builtinId="4"/>
    <cellStyle name="Normal" xfId="0" builtinId="0"/>
    <cellStyle name="Percent" xfId="2" builtinId="5"/>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0</xdr:row>
      <xdr:rowOff>115194</xdr:rowOff>
    </xdr:from>
    <xdr:to>
      <xdr:col>0</xdr:col>
      <xdr:colOff>1449916</xdr:colOff>
      <xdr:row>2</xdr:row>
      <xdr:rowOff>148167</xdr:rowOff>
    </xdr:to>
    <xdr:pic>
      <xdr:nvPicPr>
        <xdr:cNvPr id="2" name="Picture 1">
          <a:extLst>
            <a:ext uri="{FF2B5EF4-FFF2-40B4-BE49-F238E27FC236}">
              <a16:creationId xmlns:a16="http://schemas.microsoft.com/office/drawing/2014/main" id="{00000000-0008-0000-0000-000002000000}"/>
            </a:ext>
          </a:extLst>
        </xdr:cNvPr>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xdr:blipFill>
      <xdr:spPr bwMode="auto">
        <a:xfrm>
          <a:off x="0" y="115194"/>
          <a:ext cx="1449916" cy="519806"/>
        </a:xfrm>
        <a:prstGeom prst="rect">
          <a:avLst/>
        </a:prstGeom>
        <a:noFill/>
        <a:ln w="9525">
          <a:noFill/>
          <a:miter lim="800000"/>
          <a:headEnd/>
          <a:tailEnd/>
        </a:ln>
      </xdr:spPr>
    </xdr:pic>
    <xdr:clientData/>
  </xdr:twoCellAnchor>
</xdr:wsDr>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M62"/>
  <sheetViews>
    <sheetView tabSelected="1" zoomScale="90" zoomScaleNormal="90" workbookViewId="0">
      <selection activeCell="M55" sqref="M55"/>
    </sheetView>
  </sheetViews>
  <sheetFormatPr defaultRowHeight="15" x14ac:dyDescent="0.25"/>
  <cols>
    <col min="1" max="1" width="24" customWidth="1"/>
    <col min="2" max="2" width="16.7109375" customWidth="1"/>
    <col min="3" max="3" width="5.42578125" customWidth="1"/>
    <col min="5" max="5" width="15.42578125" customWidth="1"/>
    <col min="7" max="7" width="16.140625" bestFit="1" customWidth="1"/>
    <col min="10" max="10" width="11.85546875" bestFit="1" customWidth="1"/>
    <col min="11" max="11" width="10.7109375" bestFit="1" customWidth="1"/>
  </cols>
  <sheetData>
    <row r="1" spans="1:13" ht="23.25" x14ac:dyDescent="0.35">
      <c r="A1" s="19" t="s">
        <v>0</v>
      </c>
      <c r="B1" s="19"/>
      <c r="C1" s="19"/>
      <c r="D1" s="19"/>
      <c r="E1" s="19"/>
      <c r="F1" s="19"/>
      <c r="G1" s="19"/>
    </row>
    <row r="3" spans="1:13" x14ac:dyDescent="0.25">
      <c r="E3" s="20" t="s">
        <v>1</v>
      </c>
      <c r="F3" s="20"/>
      <c r="G3" s="3">
        <v>45955</v>
      </c>
      <c r="I3" s="2"/>
      <c r="J3" s="2"/>
      <c r="K3" s="2"/>
      <c r="L3" s="2"/>
      <c r="M3" s="2"/>
    </row>
    <row r="5" spans="1:13" x14ac:dyDescent="0.25">
      <c r="A5" s="4" t="s">
        <v>2</v>
      </c>
      <c r="B5" s="23" t="s">
        <v>49</v>
      </c>
      <c r="C5" s="23"/>
      <c r="D5" s="23"/>
      <c r="E5" s="23"/>
      <c r="F5" s="23"/>
      <c r="G5" s="23"/>
    </row>
    <row r="6" spans="1:13" x14ac:dyDescent="0.25">
      <c r="A6" s="22"/>
      <c r="B6" s="22"/>
      <c r="C6" s="22"/>
      <c r="D6" s="22"/>
      <c r="E6" s="22"/>
      <c r="F6" s="22"/>
      <c r="G6" s="22"/>
    </row>
    <row r="7" spans="1:13" x14ac:dyDescent="0.25">
      <c r="A7" s="4" t="s">
        <v>3</v>
      </c>
      <c r="B7" s="24" t="s">
        <v>50</v>
      </c>
      <c r="C7" s="23"/>
      <c r="D7" s="23"/>
      <c r="E7" s="23"/>
      <c r="F7" s="23"/>
      <c r="G7" s="23"/>
    </row>
    <row r="8" spans="1:13" x14ac:dyDescent="0.25">
      <c r="A8" s="22"/>
      <c r="B8" s="22"/>
      <c r="C8" s="22"/>
      <c r="D8" s="22"/>
      <c r="E8" s="22"/>
      <c r="F8" s="22"/>
      <c r="G8" s="22"/>
    </row>
    <row r="9" spans="1:13" x14ac:dyDescent="0.25">
      <c r="A9" s="4" t="s">
        <v>4</v>
      </c>
      <c r="B9" s="23" t="s">
        <v>38</v>
      </c>
      <c r="C9" s="23"/>
      <c r="D9" s="23"/>
      <c r="E9" s="23"/>
      <c r="F9" s="23"/>
      <c r="G9" s="23"/>
    </row>
    <row r="10" spans="1:13" x14ac:dyDescent="0.25">
      <c r="A10" s="22"/>
      <c r="B10" s="22"/>
      <c r="C10" s="22"/>
      <c r="D10" s="22"/>
      <c r="E10" s="22"/>
      <c r="F10" s="22"/>
      <c r="G10" s="22"/>
    </row>
    <row r="11" spans="1:13" x14ac:dyDescent="0.25">
      <c r="A11" s="4" t="s">
        <v>5</v>
      </c>
      <c r="B11" s="23" t="s">
        <v>55</v>
      </c>
      <c r="C11" s="23"/>
      <c r="D11" s="23"/>
      <c r="E11" s="23"/>
      <c r="F11" s="23"/>
      <c r="G11" s="23"/>
    </row>
    <row r="12" spans="1:13" x14ac:dyDescent="0.25">
      <c r="A12" s="28"/>
      <c r="B12" s="28"/>
      <c r="C12" s="28"/>
      <c r="D12" s="28"/>
      <c r="E12" s="28"/>
      <c r="F12" s="28"/>
      <c r="G12" s="28"/>
    </row>
    <row r="13" spans="1:13" x14ac:dyDescent="0.25">
      <c r="A13" s="4" t="s">
        <v>6</v>
      </c>
      <c r="B13" s="14">
        <v>45593</v>
      </c>
      <c r="C13" s="4"/>
      <c r="D13" s="4" t="s">
        <v>18</v>
      </c>
      <c r="E13" s="4" t="s">
        <v>14</v>
      </c>
      <c r="F13" s="4"/>
      <c r="G13" s="10">
        <v>85612098</v>
      </c>
      <c r="H13" t="s">
        <v>14</v>
      </c>
      <c r="I13" s="1" t="s">
        <v>14</v>
      </c>
      <c r="J13" s="6"/>
      <c r="K13" s="1"/>
    </row>
    <row r="14" spans="1:13" x14ac:dyDescent="0.25">
      <c r="A14" s="4" t="s">
        <v>7</v>
      </c>
      <c r="B14" s="14">
        <v>46078</v>
      </c>
      <c r="C14" s="4"/>
      <c r="D14" s="4" t="s">
        <v>9</v>
      </c>
      <c r="E14" s="4"/>
      <c r="F14" s="4"/>
      <c r="G14" s="8"/>
    </row>
    <row r="15" spans="1:13" x14ac:dyDescent="0.25">
      <c r="A15" s="4" t="s">
        <v>8</v>
      </c>
      <c r="B15" s="16">
        <v>0.77100000000000002</v>
      </c>
      <c r="C15" s="4"/>
      <c r="D15" s="4" t="s">
        <v>21</v>
      </c>
      <c r="E15" s="4"/>
      <c r="F15" s="4"/>
      <c r="G15" s="7">
        <f>SUM(G13:G14)</f>
        <v>85612098</v>
      </c>
      <c r="J15" t="s">
        <v>14</v>
      </c>
    </row>
    <row r="16" spans="1:13" x14ac:dyDescent="0.25">
      <c r="A16" s="4" t="s">
        <v>52</v>
      </c>
      <c r="B16" s="15" t="s">
        <v>53</v>
      </c>
      <c r="C16" s="4"/>
      <c r="D16" s="4" t="s">
        <v>10</v>
      </c>
      <c r="E16" s="4"/>
      <c r="F16" s="4"/>
      <c r="G16" s="10">
        <v>87222463</v>
      </c>
      <c r="I16" t="s">
        <v>14</v>
      </c>
    </row>
    <row r="17" spans="1:7" x14ac:dyDescent="0.25">
      <c r="A17" s="4"/>
      <c r="B17" s="5"/>
      <c r="C17" s="4"/>
      <c r="D17" s="4" t="s">
        <v>20</v>
      </c>
      <c r="E17" s="4"/>
      <c r="F17" s="4"/>
      <c r="G17" s="9">
        <f>G15-G16</f>
        <v>-1610365</v>
      </c>
    </row>
    <row r="18" spans="1:7" ht="18" customHeight="1" x14ac:dyDescent="0.25">
      <c r="A18" s="4" t="s">
        <v>11</v>
      </c>
      <c r="B18" s="25" t="s">
        <v>24</v>
      </c>
      <c r="C18" s="26"/>
      <c r="D18" s="26"/>
      <c r="E18" s="26"/>
      <c r="F18" s="26"/>
      <c r="G18" s="27"/>
    </row>
    <row r="19" spans="1:7" x14ac:dyDescent="0.25">
      <c r="B19" s="36" t="s">
        <v>76</v>
      </c>
      <c r="C19" s="37"/>
      <c r="D19" s="37"/>
      <c r="E19" s="37"/>
      <c r="F19" s="37"/>
      <c r="G19" s="37"/>
    </row>
    <row r="20" spans="1:7" x14ac:dyDescent="0.25">
      <c r="A20" s="4" t="s">
        <v>16</v>
      </c>
    </row>
    <row r="21" spans="1:7" ht="15" customHeight="1" x14ac:dyDescent="0.25">
      <c r="B21" s="21" t="s">
        <v>13</v>
      </c>
      <c r="C21" s="21"/>
      <c r="D21" s="21" t="s">
        <v>15</v>
      </c>
      <c r="E21" s="21"/>
      <c r="F21" s="21" t="s">
        <v>19</v>
      </c>
      <c r="G21" s="21"/>
    </row>
    <row r="22" spans="1:7" x14ac:dyDescent="0.25">
      <c r="B22" s="21"/>
      <c r="C22" s="21"/>
      <c r="D22" s="21"/>
      <c r="E22" s="21"/>
      <c r="F22" s="21"/>
      <c r="G22" s="21"/>
    </row>
    <row r="23" spans="1:7" x14ac:dyDescent="0.25">
      <c r="B23" s="30" t="s">
        <v>17</v>
      </c>
      <c r="C23" s="30"/>
      <c r="D23" s="29" t="s">
        <v>22</v>
      </c>
      <c r="E23" s="29"/>
      <c r="F23" s="29">
        <v>4</v>
      </c>
      <c r="G23" s="29"/>
    </row>
    <row r="24" spans="1:7" x14ac:dyDescent="0.25">
      <c r="B24" s="30" t="s">
        <v>45</v>
      </c>
      <c r="C24" s="30"/>
      <c r="D24" s="29" t="s">
        <v>25</v>
      </c>
      <c r="E24" s="29"/>
      <c r="F24" s="29">
        <v>9</v>
      </c>
      <c r="G24" s="29"/>
    </row>
    <row r="25" spans="1:7" x14ac:dyDescent="0.25">
      <c r="B25" s="30" t="s">
        <v>40</v>
      </c>
      <c r="C25" s="30"/>
      <c r="D25" s="29" t="s">
        <v>33</v>
      </c>
      <c r="E25" s="29"/>
      <c r="F25" s="29"/>
      <c r="G25" s="29"/>
    </row>
    <row r="26" spans="1:7" x14ac:dyDescent="0.25">
      <c r="B26" s="30" t="s">
        <v>45</v>
      </c>
      <c r="C26" s="30"/>
      <c r="D26" s="29" t="s">
        <v>51</v>
      </c>
      <c r="E26" s="29"/>
      <c r="F26" s="29"/>
      <c r="G26" s="29"/>
    </row>
    <row r="27" spans="1:7" x14ac:dyDescent="0.25">
      <c r="B27" s="30" t="s">
        <v>41</v>
      </c>
      <c r="C27" s="30"/>
      <c r="D27" s="29" t="s">
        <v>34</v>
      </c>
      <c r="E27" s="29"/>
      <c r="F27" s="29"/>
      <c r="G27" s="29"/>
    </row>
    <row r="28" spans="1:7" x14ac:dyDescent="0.25">
      <c r="B28" s="30" t="s">
        <v>68</v>
      </c>
      <c r="C28" s="30"/>
      <c r="D28" s="29" t="s">
        <v>67</v>
      </c>
      <c r="E28" s="29"/>
      <c r="F28" s="29">
        <v>8</v>
      </c>
      <c r="G28" s="29"/>
    </row>
    <row r="29" spans="1:7" x14ac:dyDescent="0.25">
      <c r="B29" s="30" t="s">
        <v>47</v>
      </c>
      <c r="C29" s="30"/>
      <c r="D29" s="29" t="s">
        <v>23</v>
      </c>
      <c r="E29" s="29"/>
      <c r="F29" s="29">
        <v>42</v>
      </c>
      <c r="G29" s="29"/>
    </row>
    <row r="30" spans="1:7" x14ac:dyDescent="0.25">
      <c r="B30" s="30" t="s">
        <v>40</v>
      </c>
      <c r="C30" s="30"/>
      <c r="D30" s="29" t="s">
        <v>26</v>
      </c>
      <c r="E30" s="29"/>
      <c r="F30" s="29"/>
      <c r="G30" s="29"/>
    </row>
    <row r="31" spans="1:7" ht="15" customHeight="1" x14ac:dyDescent="0.25">
      <c r="B31" s="30" t="s">
        <v>57</v>
      </c>
      <c r="C31" s="30"/>
      <c r="D31" s="29" t="s">
        <v>58</v>
      </c>
      <c r="E31" s="29"/>
      <c r="F31" s="29"/>
      <c r="G31" s="29"/>
    </row>
    <row r="32" spans="1:7" x14ac:dyDescent="0.25">
      <c r="B32" s="30" t="s">
        <v>60</v>
      </c>
      <c r="C32" s="30"/>
      <c r="D32" s="29" t="s">
        <v>61</v>
      </c>
      <c r="E32" s="29"/>
      <c r="F32" s="29"/>
      <c r="G32" s="29"/>
    </row>
    <row r="33" spans="1:7" x14ac:dyDescent="0.25">
      <c r="B33" s="30" t="s">
        <v>54</v>
      </c>
      <c r="C33" s="30"/>
      <c r="D33" s="29" t="s">
        <v>28</v>
      </c>
      <c r="E33" s="29"/>
      <c r="F33" s="29"/>
      <c r="G33" s="29"/>
    </row>
    <row r="34" spans="1:7" x14ac:dyDescent="0.25">
      <c r="B34" s="30" t="s">
        <v>41</v>
      </c>
      <c r="C34" s="30"/>
      <c r="D34" s="29" t="s">
        <v>29</v>
      </c>
      <c r="E34" s="29"/>
      <c r="F34" s="29"/>
      <c r="G34" s="29"/>
    </row>
    <row r="35" spans="1:7" x14ac:dyDescent="0.25">
      <c r="B35" s="30" t="s">
        <v>64</v>
      </c>
      <c r="C35" s="30"/>
      <c r="D35" s="29" t="s">
        <v>65</v>
      </c>
      <c r="E35" s="29"/>
      <c r="F35" s="29"/>
      <c r="G35" s="29"/>
    </row>
    <row r="36" spans="1:7" x14ac:dyDescent="0.25">
      <c r="B36" s="30" t="s">
        <v>40</v>
      </c>
      <c r="C36" s="30"/>
      <c r="D36" s="29" t="s">
        <v>69</v>
      </c>
      <c r="E36" s="29"/>
      <c r="F36" s="29"/>
      <c r="G36" s="29"/>
    </row>
    <row r="37" spans="1:7" x14ac:dyDescent="0.25">
      <c r="B37" s="30" t="s">
        <v>71</v>
      </c>
      <c r="C37" s="30"/>
      <c r="D37" s="29" t="s">
        <v>63</v>
      </c>
      <c r="E37" s="29"/>
      <c r="F37" s="29">
        <v>4</v>
      </c>
      <c r="G37" s="29"/>
    </row>
    <row r="38" spans="1:7" ht="18" customHeight="1" x14ac:dyDescent="0.25">
      <c r="B38" s="30" t="s">
        <v>48</v>
      </c>
      <c r="C38" s="30"/>
      <c r="D38" s="29" t="s">
        <v>30</v>
      </c>
      <c r="E38" s="29"/>
    </row>
    <row r="39" spans="1:7" x14ac:dyDescent="0.25">
      <c r="B39" s="30" t="s">
        <v>42</v>
      </c>
      <c r="C39" s="30"/>
      <c r="D39" s="29" t="s">
        <v>31</v>
      </c>
      <c r="E39" s="29"/>
      <c r="F39" s="29"/>
      <c r="G39" s="29"/>
    </row>
    <row r="40" spans="1:7" ht="45" customHeight="1" x14ac:dyDescent="0.25">
      <c r="A40" s="4" t="s">
        <v>12</v>
      </c>
    </row>
    <row r="41" spans="1:7" ht="54.75" customHeight="1" x14ac:dyDescent="0.25">
      <c r="A41" s="11" t="s">
        <v>35</v>
      </c>
      <c r="B41" s="18" t="s">
        <v>70</v>
      </c>
      <c r="C41" s="18"/>
      <c r="D41" s="18"/>
      <c r="E41" s="18"/>
      <c r="F41" s="18"/>
      <c r="G41" s="18"/>
    </row>
    <row r="42" spans="1:7" ht="54.75" customHeight="1" x14ac:dyDescent="0.25">
      <c r="A42" s="11" t="s">
        <v>44</v>
      </c>
      <c r="B42" s="18" t="s">
        <v>73</v>
      </c>
      <c r="C42" s="18"/>
      <c r="D42" s="18"/>
      <c r="E42" s="18"/>
      <c r="F42" s="18"/>
      <c r="G42" s="18"/>
    </row>
    <row r="43" spans="1:7" ht="71.25" customHeight="1" x14ac:dyDescent="0.25">
      <c r="A43" s="11" t="s">
        <v>46</v>
      </c>
      <c r="B43" s="18" t="s">
        <v>74</v>
      </c>
      <c r="C43" s="18"/>
      <c r="D43" s="18"/>
      <c r="E43" s="18"/>
      <c r="F43" s="18"/>
      <c r="G43" s="18"/>
    </row>
    <row r="44" spans="1:7" ht="18" customHeight="1" x14ac:dyDescent="0.25">
      <c r="A44" s="11" t="s">
        <v>54</v>
      </c>
      <c r="B44" s="18"/>
      <c r="C44" s="18"/>
      <c r="D44" s="18"/>
      <c r="E44" s="18"/>
      <c r="F44" s="18"/>
      <c r="G44" s="18"/>
    </row>
    <row r="45" spans="1:7" ht="35.25" customHeight="1" x14ac:dyDescent="0.25">
      <c r="A45" s="11" t="s">
        <v>62</v>
      </c>
      <c r="B45" s="17"/>
      <c r="C45" s="17"/>
      <c r="D45" s="17"/>
      <c r="E45" s="17"/>
      <c r="F45" s="17"/>
      <c r="G45" s="17"/>
    </row>
    <row r="46" spans="1:7" ht="18" customHeight="1" x14ac:dyDescent="0.25">
      <c r="A46" s="11" t="s">
        <v>56</v>
      </c>
      <c r="B46" s="17"/>
      <c r="C46" s="17"/>
      <c r="D46" s="17"/>
      <c r="E46" s="17"/>
      <c r="F46" s="17"/>
      <c r="G46" s="17"/>
    </row>
    <row r="47" spans="1:7" ht="18" customHeight="1" x14ac:dyDescent="0.25">
      <c r="A47" s="11" t="s">
        <v>43</v>
      </c>
      <c r="B47" s="18"/>
      <c r="C47" s="18"/>
      <c r="D47" s="18"/>
      <c r="E47" s="18"/>
      <c r="F47" s="18"/>
      <c r="G47" s="18"/>
    </row>
    <row r="48" spans="1:7" ht="18" customHeight="1" x14ac:dyDescent="0.25">
      <c r="A48" s="11" t="s">
        <v>69</v>
      </c>
      <c r="B48" s="17"/>
      <c r="C48" s="17"/>
      <c r="D48" s="17"/>
      <c r="E48" s="17"/>
      <c r="F48" s="17"/>
      <c r="G48" s="17"/>
    </row>
    <row r="49" spans="1:7" ht="18" customHeight="1" x14ac:dyDescent="0.25">
      <c r="A49" s="11" t="s">
        <v>27</v>
      </c>
      <c r="B49" s="17"/>
      <c r="C49" s="17"/>
      <c r="D49" s="17"/>
      <c r="E49" s="17"/>
      <c r="F49" s="17"/>
      <c r="G49" s="17"/>
    </row>
    <row r="50" spans="1:7" ht="18" customHeight="1" x14ac:dyDescent="0.25">
      <c r="A50" s="11" t="s">
        <v>64</v>
      </c>
      <c r="B50" s="17"/>
      <c r="C50" s="17"/>
      <c r="D50" s="17"/>
      <c r="E50" s="17"/>
      <c r="F50" s="17"/>
      <c r="G50" s="17"/>
    </row>
    <row r="51" spans="1:7" ht="18" customHeight="1" x14ac:dyDescent="0.25">
      <c r="A51" s="11" t="s">
        <v>63</v>
      </c>
      <c r="B51" s="17" t="s">
        <v>72</v>
      </c>
      <c r="C51" s="17"/>
      <c r="D51" s="17"/>
      <c r="E51" s="17"/>
      <c r="F51" s="17"/>
      <c r="G51" s="17"/>
    </row>
    <row r="52" spans="1:7" ht="18" customHeight="1" x14ac:dyDescent="0.25">
      <c r="A52" s="11" t="s">
        <v>32</v>
      </c>
      <c r="B52" s="17"/>
      <c r="C52" s="17"/>
      <c r="D52" s="17"/>
      <c r="E52" s="17"/>
      <c r="F52" s="17"/>
      <c r="G52" s="17"/>
    </row>
    <row r="53" spans="1:7" ht="18.75" customHeight="1" x14ac:dyDescent="0.25">
      <c r="A53" s="11" t="s">
        <v>66</v>
      </c>
      <c r="B53" s="17"/>
      <c r="C53" s="17"/>
      <c r="D53" s="17"/>
      <c r="E53" s="17"/>
      <c r="F53" s="17"/>
      <c r="G53" s="17"/>
    </row>
    <row r="54" spans="1:7" x14ac:dyDescent="0.25">
      <c r="A54" s="11" t="s">
        <v>59</v>
      </c>
      <c r="B54" s="17"/>
      <c r="C54" s="17"/>
      <c r="D54" s="17"/>
      <c r="E54" s="17"/>
      <c r="F54" s="17"/>
      <c r="G54" s="17"/>
    </row>
    <row r="55" spans="1:7" ht="44.25" customHeight="1" x14ac:dyDescent="0.25"/>
    <row r="56" spans="1:7" ht="18" customHeight="1" x14ac:dyDescent="0.25">
      <c r="A56" s="4" t="s">
        <v>36</v>
      </c>
    </row>
    <row r="57" spans="1:7" x14ac:dyDescent="0.25">
      <c r="A57" s="32" t="s">
        <v>77</v>
      </c>
      <c r="B57" s="33"/>
      <c r="C57" s="33"/>
      <c r="D57" s="33"/>
      <c r="E57" s="33"/>
      <c r="F57" s="33"/>
      <c r="G57" s="34"/>
    </row>
    <row r="58" spans="1:7" ht="44.25" customHeight="1" x14ac:dyDescent="0.25"/>
    <row r="59" spans="1:7" ht="18" customHeight="1" x14ac:dyDescent="0.25">
      <c r="A59" s="4" t="s">
        <v>37</v>
      </c>
    </row>
    <row r="60" spans="1:7" ht="18.75" customHeight="1" x14ac:dyDescent="0.25">
      <c r="A60" s="32" t="s">
        <v>75</v>
      </c>
      <c r="B60" s="33"/>
      <c r="C60" s="33"/>
      <c r="D60" s="33"/>
      <c r="E60" s="33"/>
      <c r="F60" s="33"/>
      <c r="G60" s="34"/>
    </row>
    <row r="61" spans="1:7" x14ac:dyDescent="0.25">
      <c r="A61" s="13"/>
      <c r="B61" s="12"/>
      <c r="C61" s="12"/>
      <c r="D61" s="12"/>
      <c r="E61" s="12"/>
      <c r="F61" s="12"/>
      <c r="G61" s="12"/>
    </row>
    <row r="62" spans="1:7" x14ac:dyDescent="0.25">
      <c r="A62" s="31" t="s">
        <v>39</v>
      </c>
      <c r="B62" s="31"/>
      <c r="C62" s="31"/>
      <c r="D62" s="31"/>
      <c r="E62" s="31"/>
      <c r="F62" s="31"/>
      <c r="G62" s="31"/>
    </row>
  </sheetData>
  <mergeCells count="82">
    <mergeCell ref="A62:G62"/>
    <mergeCell ref="A60:G60"/>
    <mergeCell ref="A57:G57"/>
    <mergeCell ref="F34:G34"/>
    <mergeCell ref="B38:C38"/>
    <mergeCell ref="D38:E38"/>
    <mergeCell ref="F37:G37"/>
    <mergeCell ref="B35:C35"/>
    <mergeCell ref="D35:E35"/>
    <mergeCell ref="F35:G35"/>
    <mergeCell ref="B36:C36"/>
    <mergeCell ref="D36:E36"/>
    <mergeCell ref="F36:G36"/>
    <mergeCell ref="B37:C37"/>
    <mergeCell ref="D37:E37"/>
    <mergeCell ref="B39:C39"/>
    <mergeCell ref="D39:E39"/>
    <mergeCell ref="F39:G39"/>
    <mergeCell ref="B30:C30"/>
    <mergeCell ref="D30:E30"/>
    <mergeCell ref="F30:G30"/>
    <mergeCell ref="B33:C33"/>
    <mergeCell ref="D33:E33"/>
    <mergeCell ref="F33:G33"/>
    <mergeCell ref="B32:C32"/>
    <mergeCell ref="D32:E32"/>
    <mergeCell ref="F32:G32"/>
    <mergeCell ref="F31:G31"/>
    <mergeCell ref="D31:E31"/>
    <mergeCell ref="B34:C34"/>
    <mergeCell ref="D34:E34"/>
    <mergeCell ref="B31:C31"/>
    <mergeCell ref="B23:C23"/>
    <mergeCell ref="F23:G23"/>
    <mergeCell ref="F29:G29"/>
    <mergeCell ref="B24:C24"/>
    <mergeCell ref="B26:C26"/>
    <mergeCell ref="D23:E23"/>
    <mergeCell ref="D24:E24"/>
    <mergeCell ref="F24:G24"/>
    <mergeCell ref="B25:C25"/>
    <mergeCell ref="B29:C29"/>
    <mergeCell ref="D29:E29"/>
    <mergeCell ref="D25:E25"/>
    <mergeCell ref="F25:G25"/>
    <mergeCell ref="B28:C28"/>
    <mergeCell ref="D28:E28"/>
    <mergeCell ref="F28:G28"/>
    <mergeCell ref="D26:E26"/>
    <mergeCell ref="B27:C27"/>
    <mergeCell ref="D27:E27"/>
    <mergeCell ref="F27:G27"/>
    <mergeCell ref="F26:G26"/>
    <mergeCell ref="A1:G1"/>
    <mergeCell ref="E3:F3"/>
    <mergeCell ref="B21:C22"/>
    <mergeCell ref="D21:E22"/>
    <mergeCell ref="F21:G22"/>
    <mergeCell ref="A6:G6"/>
    <mergeCell ref="B19:G19"/>
    <mergeCell ref="B5:G5"/>
    <mergeCell ref="B7:G7"/>
    <mergeCell ref="B9:G9"/>
    <mergeCell ref="B11:G11"/>
    <mergeCell ref="A8:G8"/>
    <mergeCell ref="A10:G10"/>
    <mergeCell ref="B18:G18"/>
    <mergeCell ref="A12:G12"/>
    <mergeCell ref="B46:G46"/>
    <mergeCell ref="B41:G41"/>
    <mergeCell ref="B42:G42"/>
    <mergeCell ref="B43:G43"/>
    <mergeCell ref="B44:G44"/>
    <mergeCell ref="B45:G45"/>
    <mergeCell ref="B52:G52"/>
    <mergeCell ref="B53:G53"/>
    <mergeCell ref="B54:G54"/>
    <mergeCell ref="B47:G47"/>
    <mergeCell ref="B48:G48"/>
    <mergeCell ref="B49:G49"/>
    <mergeCell ref="B50:G50"/>
    <mergeCell ref="B51:G51"/>
  </mergeCells>
  <printOptions horizontalCentered="1" gridLines="1"/>
  <pageMargins left="0.25" right="0.25" top="0.75" bottom="0.75" header="0.3" footer="0.3"/>
  <pageSetup orientation="portrait" r:id="rId1"/>
  <headerFooter differentOddEven="1"/>
  <rowBreaks count="1" manualBreakCount="1">
    <brk id="40" max="16383" man="1"/>
  </rowBreaks>
  <colBreaks count="1" manualBreakCount="1">
    <brk id="10" max="1048575" man="1"/>
  </colBreaks>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908F60A-B488-4875-A770-358887853945}">
  <dimension ref="A10:G12"/>
  <sheetViews>
    <sheetView workbookViewId="0">
      <selection activeCell="A11" sqref="A11:G11"/>
    </sheetView>
  </sheetViews>
  <sheetFormatPr defaultRowHeight="15" x14ac:dyDescent="0.25"/>
  <sheetData>
    <row r="10" spans="1:7" ht="18" customHeight="1" x14ac:dyDescent="0.25">
      <c r="A10" s="4" t="s">
        <v>12</v>
      </c>
    </row>
    <row r="11" spans="1:7" ht="324.95" customHeight="1" x14ac:dyDescent="0.25">
      <c r="A11" s="35"/>
      <c r="B11" s="33"/>
      <c r="C11" s="33"/>
      <c r="D11" s="33"/>
      <c r="E11" s="33"/>
      <c r="F11" s="33"/>
      <c r="G11" s="34"/>
    </row>
    <row r="12" spans="1:7" ht="14.25" customHeight="1" x14ac:dyDescent="0.25">
      <c r="A12" t="s">
        <v>14</v>
      </c>
    </row>
  </sheetData>
  <mergeCells count="1">
    <mergeCell ref="A11:G11"/>
  </mergeCells>
  <pageMargins left="0.7" right="0.7" top="0.75" bottom="0.75" header="0.3" footer="0.3"/>
  <pageSetup orientation="portrait" r:id="rId1"/>
</worksheet>
</file>

<file path=docMetadata/LabelInfo.xml><?xml version="1.0" encoding="utf-8"?>
<clbl:labelList xmlns:clbl="http://schemas.microsoft.com/office/2020/mipLabelMetadata">
  <clbl:label id="{80f04b11-fb1a-46a2-b1e5-bd6d5c5bb827}" enabled="0" method="" siteId="{80f04b11-fb1a-46a2-b1e5-bd6d5c5bb827}" removed="1"/>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vt:i4>
      </vt:variant>
      <vt:variant>
        <vt:lpstr>Named Ranges</vt:lpstr>
      </vt:variant>
      <vt:variant>
        <vt:i4>1</vt:i4>
      </vt:variant>
    </vt:vector>
  </HeadingPairs>
  <TitlesOfParts>
    <vt:vector size="3" baseType="lpstr">
      <vt:lpstr>Page 1</vt:lpstr>
      <vt:lpstr>Sheet1</vt:lpstr>
      <vt:lpstr>'Page 1'!Print_Area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Luke Hodson</dc:creator>
  <cp:lastModifiedBy>Dale Spencer</cp:lastModifiedBy>
  <cp:lastPrinted>2025-01-17T17:32:49Z</cp:lastPrinted>
  <dcterms:created xsi:type="dcterms:W3CDTF">2013-02-19T18:19:40Z</dcterms:created>
  <dcterms:modified xsi:type="dcterms:W3CDTF">2025-10-28T18:24:38Z</dcterms:modified>
</cp:coreProperties>
</file>