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les\Desktop\Weekly Reports\"/>
    </mc:Choice>
  </mc:AlternateContent>
  <xr:revisionPtr revIDLastSave="0" documentId="13_ncr:1_{40C811FC-6EA2-4221-AC4F-6EF755697F08}" xr6:coauthVersionLast="47" xr6:coauthVersionMax="47" xr10:uidLastSave="{00000000-0000-0000-0000-000000000000}"/>
  <bookViews>
    <workbookView xWindow="-120" yWindow="-120" windowWidth="29040" windowHeight="15720" xr2:uid="{00000000-000D-0000-FFFF-FFFF00000000}"/>
  </bookViews>
  <sheets>
    <sheet name="Page 1" sheetId="1" r:id="rId1"/>
  </sheets>
  <definedNames>
    <definedName name="_xlnm.Print_Area" localSheetId="0">'Page 1'!$A$1:$G$45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3" i="1" l="1"/>
  <c r="G17" i="1"/>
</calcChain>
</file>

<file path=xl/sharedStrings.xml><?xml version="1.0" encoding="utf-8"?>
<sst xmlns="http://schemas.openxmlformats.org/spreadsheetml/2006/main" count="141" uniqueCount="109">
  <si>
    <t>Weekly Job Status Report</t>
  </si>
  <si>
    <t>Week Ending:</t>
  </si>
  <si>
    <t>PROJECT NAME:</t>
  </si>
  <si>
    <t>PROJECT NUMBER:</t>
  </si>
  <si>
    <t>ARCHITECT:</t>
  </si>
  <si>
    <t>SABEY PROJECT STAFF</t>
  </si>
  <si>
    <t>START DATE:</t>
  </si>
  <si>
    <t>SCHEDULED COMPLETION:</t>
  </si>
  <si>
    <t>PROJECT % COMPLETE:</t>
  </si>
  <si>
    <t>APPROVED CHANGE ORDERS:</t>
  </si>
  <si>
    <t>EST. COST AT COMPLETION:</t>
  </si>
  <si>
    <t>SCHEDULE STATUS:</t>
  </si>
  <si>
    <t>WORK PERFORMED:</t>
  </si>
  <si>
    <t>Company</t>
  </si>
  <si>
    <t xml:space="preserve"> </t>
  </si>
  <si>
    <t>Craft</t>
  </si>
  <si>
    <t xml:space="preserve"> TEAM</t>
  </si>
  <si>
    <t>BUDGET:</t>
  </si>
  <si>
    <t>Trade Workers</t>
  </si>
  <si>
    <t>CURRENT PROJECTED (+/-)</t>
  </si>
  <si>
    <t>REVISED BUDGET</t>
  </si>
  <si>
    <t>Contractor</t>
  </si>
  <si>
    <t xml:space="preserve">Sabey Construction </t>
  </si>
  <si>
    <t>SCI</t>
  </si>
  <si>
    <t>24-3-013-asha/24-3-014-asha/24-3-052asha-dh1/24-3-053asha-dh2</t>
  </si>
  <si>
    <t>Corgan</t>
  </si>
  <si>
    <t>Civil</t>
  </si>
  <si>
    <t>Inspections</t>
  </si>
  <si>
    <t>Concrete</t>
  </si>
  <si>
    <t>Independence Ex</t>
  </si>
  <si>
    <t>ECS Mid-Atlantic</t>
  </si>
  <si>
    <t>Beltway Paving</t>
  </si>
  <si>
    <t xml:space="preserve">Currently on track for July 2026. </t>
  </si>
  <si>
    <t>*Budget realignment pending finalized design changes</t>
  </si>
  <si>
    <t>DYNA</t>
  </si>
  <si>
    <t>Dyna</t>
  </si>
  <si>
    <t>Electric</t>
  </si>
  <si>
    <t>Prepared by: BJ Braden</t>
  </si>
  <si>
    <t xml:space="preserve">Dyna </t>
  </si>
  <si>
    <t xml:space="preserve">ASH-A Site/Shell &amp; Core/Data Halls 1&amp;2  LLO </t>
  </si>
  <si>
    <t>TENANT LEASES:</t>
  </si>
  <si>
    <t>TBD</t>
  </si>
  <si>
    <t>Southland</t>
  </si>
  <si>
    <t>Plumbing</t>
  </si>
  <si>
    <t>Maria Mosley, Hugo Portillo, JC Mao-Alston, Donnie Fields, Ted Satterthwaite, Max Wright, BJ Braden, Jonny G.</t>
  </si>
  <si>
    <t>Sheet Metal</t>
  </si>
  <si>
    <t>Mis. Metals</t>
  </si>
  <si>
    <t>Southland Plumbing</t>
  </si>
  <si>
    <t>Southland Sheet Metal</t>
  </si>
  <si>
    <t>Advanced Caulking</t>
  </si>
  <si>
    <t xml:space="preserve">Caulker </t>
  </si>
  <si>
    <t>TECTA</t>
  </si>
  <si>
    <t>PCI</t>
  </si>
  <si>
    <t>Framer/Drywall</t>
  </si>
  <si>
    <t>Sprinkler</t>
  </si>
  <si>
    <t>Southland Sprinkler</t>
  </si>
  <si>
    <t>Tecta Roofing</t>
  </si>
  <si>
    <t>Roofing</t>
  </si>
  <si>
    <t>TECTA Roofing</t>
  </si>
  <si>
    <t>Upcoming Work</t>
  </si>
  <si>
    <t>Safety meeting, Near Misses:</t>
  </si>
  <si>
    <t>Southland, Pipe Fitters</t>
  </si>
  <si>
    <t>KONE</t>
  </si>
  <si>
    <t>Shockey</t>
  </si>
  <si>
    <t>Concrete Patching</t>
  </si>
  <si>
    <t xml:space="preserve">Continue  Inspecting compaction for the backfill of ditches. Taking concrete cylinders for the concrete pours. Continue Inspecting roofing of the building. Marking any holes in the vapor barrier for repairs. </t>
  </si>
  <si>
    <t>Higham</t>
  </si>
  <si>
    <t>Painter</t>
  </si>
  <si>
    <t>Painting priority walls in preparation of high work</t>
  </si>
  <si>
    <t xml:space="preserve">Elevator </t>
  </si>
  <si>
    <t>Southland, pipe fitters</t>
  </si>
  <si>
    <t>Skim coating precast walls that came on site rough and washing the outside of the building in the attempt to color match. Continuing punchout throughout the building.</t>
  </si>
  <si>
    <t xml:space="preserve">Continue  Inspecting compaction for the backfill of ditches. Taking concrete cylinders for the concrete pours. Inspecting roofing for the building.  </t>
  </si>
  <si>
    <t>Pipe Fitters</t>
  </si>
  <si>
    <t>Installing water piping on the 3rd and 2nd floor to the East and the Core. Installing roof drain piping through the interior of the core. Setting floor drains in slab on grade West.</t>
  </si>
  <si>
    <t>Installing sprinkler lines in the Core, first floor.</t>
  </si>
  <si>
    <t>Installing sprinkler pipe in the first floor core.</t>
  </si>
  <si>
    <t>Continue hanging water piping and sanitary in the core.</t>
  </si>
  <si>
    <t>Power Solutions</t>
  </si>
  <si>
    <t>Low Voltage, Thermostats</t>
  </si>
  <si>
    <t>Cascade Steel</t>
  </si>
  <si>
    <t>Highom</t>
  </si>
  <si>
    <t>Continuing painting the priority walls and the walls behind the CRAHs</t>
  </si>
  <si>
    <t xml:space="preserve"> Running conduit for the  in A35 and A23. Installing hanger for the OH conduit rack in A35and A23.Laying out for priority wall penetrations. Working on temp power for the temporary heaters and freight elevator work.</t>
  </si>
  <si>
    <t>Poured concrete on the 1st floor  slab on grade West from 6 to 7 and 8 to 9 line in the West. Pouring the USS pads in the Northeast gen. yard.</t>
  </si>
  <si>
    <t>Continue framing in the CRAH walls in A23. Continue framing in walls in the core.</t>
  </si>
  <si>
    <t xml:space="preserve">SDC-IGA-Building A </t>
  </si>
  <si>
    <t>Total people on site</t>
  </si>
  <si>
    <t>Installing ductwork in the core, verified penetration locations and sizes. Taking delivery of duct work. Installing DOAS ductwork in A35 and A23. Prepping for the DOAS units on the roof.</t>
  </si>
  <si>
    <t>Continue working on the passenger elevator.</t>
  </si>
  <si>
    <t>Continue installing conduits for low voltage controls</t>
  </si>
  <si>
    <t>Continuing  the reclaimed water to the West. Loading out dirt and grading behind the curb in the west.</t>
  </si>
  <si>
    <t>Finished pouring the slab on grade pads to the West. . Prepped USS pads in the Northeast yard. Poured curb to the West.</t>
  </si>
  <si>
    <t>Installing 12" cold water piping for the second floor core. Leveling CRAHs in A35, doing a punch list and covering with plastic.</t>
  </si>
  <si>
    <t>Building frames for A35 chillers on the ground and craning them to the roof.</t>
  </si>
  <si>
    <t>Caulking on the inside, outside of the Core and West end of the building. Continue filling control joints in the West with polyurea.</t>
  </si>
  <si>
    <t xml:space="preserve">Detailing out the main roof and installing downspouts and wall cap.  </t>
  </si>
  <si>
    <t>Installing conduit in a 35 for low voltage to allow for wall close in.</t>
  </si>
  <si>
    <t>General site safety. Being safe with man lifts and being aware of what is above you when you are going up.</t>
  </si>
  <si>
    <t>Testing the reclaimed waterline in the South. Backfilling all of the curb that has been poured to the West. Prepping for future crane picks. Digging for DYNA in the West on security conduits.</t>
  </si>
  <si>
    <t>Installing 12" chilled water piping in the core 3rd floor moving down to install 12" chilled water piping on the second floor. Trimming in CRAHs in A 35. Craning in piping in A23 and setting chillers for A35.</t>
  </si>
  <si>
    <t>Digging for security and grounding to the West. Hanging conduit throughout the building. Setting 2 EDCs in A35 gen yard.</t>
  </si>
  <si>
    <t>Prepping for DOAS unit install. Installing DOAS units.</t>
  </si>
  <si>
    <t>Continue working on the punchout list. Pouring the West screen wall panels at the plant.</t>
  </si>
  <si>
    <t xml:space="preserve"> Jobsite general cleaning, coordination, supervision, safety/quality control, and offsite parking maintenance, directing on site truck traffic and site logistics. Cleaning floors and putting up plastic over the windows in preparation for winter. Sealing gaps in preparation of the stair landing pour.</t>
  </si>
  <si>
    <t>Finish framing up CRAH openings in A35 and framing walls on the first floor core. Beginning on framing the penthouse.</t>
  </si>
  <si>
    <t xml:space="preserve"> Jobsite general cleaning, coordination, supervision, safety/quality control, and offsite parking maintenance, directing on site truck traffic and site logistics. Cleaning floors and putting up plastic over the windows in preparation for winter. Barricading temp. propane tanks.</t>
  </si>
  <si>
    <t>Continue caulking the wall joints inside and outside to the West. Caulking the inside of the passenger elevator.</t>
  </si>
  <si>
    <t>Start installing wall caps and  continue detailing out the roof. Start running the passenger elevator for the other trades to do work inside the shaft.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</si>
</sst>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sz val="11"/>
      <name val="Calibri"/>
      <family val="2"/>
      <scheme val="minor"/>
    </font>
    <font>
      <sz val="11"/>
      <color rgb="FFFF0000"/>
      <name val="Calibri"/>
      <family val="2"/>
      <scheme val="minor"/>
    </font>
    <font>
      <b/>
      <sz val="11"/>
      <color theme="1"/>
      <name val="Abadi"/>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1">
    <xf numFmtId="0" fontId="0" fillId="0" borderId="0" xfId="0"/>
    <xf numFmtId="42" fontId="0" fillId="0" borderId="0" xfId="0" applyNumberFormat="1"/>
    <xf numFmtId="0" fontId="0" fillId="2" borderId="0" xfId="0" applyFill="1"/>
    <xf numFmtId="14" fontId="0" fillId="0" borderId="1" xfId="0" applyNumberFormat="1" applyBorder="1"/>
    <xf numFmtId="0" fontId="1" fillId="0" borderId="0" xfId="0" applyFont="1"/>
    <xf numFmtId="9" fontId="2" fillId="0" borderId="0" xfId="2"/>
    <xf numFmtId="6" fontId="0" fillId="0" borderId="0" xfId="0" applyNumberFormat="1"/>
    <xf numFmtId="14" fontId="0" fillId="0" borderId="2" xfId="0" applyNumberFormat="1" applyBorder="1"/>
    <xf numFmtId="164" fontId="0" fillId="0" borderId="1" xfId="1" applyNumberFormat="1" applyFont="1" applyBorder="1"/>
    <xf numFmtId="16" fontId="1" fillId="0" borderId="5" xfId="0" applyNumberFormat="1" applyFont="1" applyBorder="1" applyAlignment="1">
      <alignment horizontal="left" vertical="top"/>
    </xf>
    <xf numFmtId="0" fontId="0" fillId="0" borderId="0" xfId="0" applyAlignment="1">
      <alignment horizontal="left" vertical="top" wrapText="1"/>
    </xf>
    <xf numFmtId="44" fontId="0" fillId="0" borderId="1" xfId="1" applyFont="1" applyBorder="1" applyAlignment="1"/>
    <xf numFmtId="44" fontId="0" fillId="0" borderId="2" xfId="1" applyFont="1" applyBorder="1" applyAlignment="1"/>
    <xf numFmtId="8" fontId="4" fillId="0" borderId="1" xfId="1" applyNumberFormat="1" applyFont="1" applyBorder="1"/>
    <xf numFmtId="9" fontId="1" fillId="0" borderId="2" xfId="2" applyFont="1" applyBorder="1" applyAlignment="1"/>
    <xf numFmtId="16" fontId="0" fillId="0" borderId="0" xfId="0" applyNumberFormat="1" applyAlignment="1">
      <alignment horizontal="left" vertical="top" wrapText="1"/>
    </xf>
    <xf numFmtId="0" fontId="6" fillId="0" borderId="0" xfId="0" applyFont="1"/>
    <xf numFmtId="14" fontId="7" fillId="0" borderId="1" xfId="0" applyNumberFormat="1" applyFont="1" applyBorder="1"/>
    <xf numFmtId="9" fontId="1" fillId="0" borderId="2" xfId="2" applyFont="1" applyBorder="1" applyAlignment="1">
      <alignment horizontal="right" wrapText="1"/>
    </xf>
    <xf numFmtId="0" fontId="0" fillId="0" borderId="0" xfId="0" applyAlignment="1">
      <alignment horizontal="center"/>
    </xf>
    <xf numFmtId="0" fontId="0" fillId="2" borderId="0" xfId="0" applyFill="1" applyAlignment="1">
      <alignment vertical="center"/>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6" xfId="0" applyBorder="1" applyAlignment="1">
      <alignment horizontal="center"/>
    </xf>
    <xf numFmtId="0" fontId="0" fillId="0" borderId="11" xfId="0" applyBorder="1" applyAlignment="1">
      <alignment horizontal="center"/>
    </xf>
    <xf numFmtId="0" fontId="3" fillId="0" borderId="0" xfId="0" applyFont="1" applyAlignment="1">
      <alignment horizontal="center"/>
    </xf>
    <xf numFmtId="0" fontId="1" fillId="0" borderId="0" xfId="0" applyFont="1" applyAlignment="1">
      <alignment horizontal="center"/>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xf numFmtId="0" fontId="0" fillId="0" borderId="1" xfId="0"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0" fontId="0" fillId="0" borderId="0" xfId="0"/>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141111</xdr:colOff>
      <xdr:row>0</xdr:row>
      <xdr:rowOff>178694</xdr:rowOff>
    </xdr:from>
    <xdr:to>
      <xdr:col>1</xdr:col>
      <xdr:colOff>1763</xdr:colOff>
      <xdr:row>3</xdr:row>
      <xdr:rowOff>28223</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41111" y="178694"/>
          <a:ext cx="1449916" cy="50957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2"/>
  <sheetViews>
    <sheetView tabSelected="1" zoomScale="90" zoomScaleNormal="90" workbookViewId="0">
      <selection activeCell="H13" sqref="H13"/>
    </sheetView>
  </sheetViews>
  <sheetFormatPr defaultRowHeight="15" x14ac:dyDescent="0.25"/>
  <cols>
    <col min="1" max="1" width="23.5703125" customWidth="1"/>
    <col min="2" max="2" width="16.7109375" customWidth="1"/>
    <col min="3" max="3" width="5.42578125" customWidth="1"/>
    <col min="5" max="5" width="15.42578125" customWidth="1"/>
    <col min="7" max="7" width="177.42578125" customWidth="1"/>
    <col min="8" max="8" width="23.28515625" customWidth="1"/>
    <col min="10" max="10" width="11.85546875" bestFit="1" customWidth="1"/>
    <col min="11" max="11" width="10.7109375" bestFit="1" customWidth="1"/>
    <col min="21" max="22" width="0" hidden="1" customWidth="1"/>
  </cols>
  <sheetData>
    <row r="1" spans="1:13" ht="23.25" x14ac:dyDescent="0.35">
      <c r="A1" s="29" t="s">
        <v>0</v>
      </c>
      <c r="B1" s="29"/>
      <c r="C1" s="29"/>
      <c r="D1" s="29"/>
      <c r="E1" s="29"/>
      <c r="F1" s="29"/>
      <c r="G1" s="29"/>
    </row>
    <row r="3" spans="1:13" x14ac:dyDescent="0.25">
      <c r="E3" s="30" t="s">
        <v>1</v>
      </c>
      <c r="F3" s="30"/>
      <c r="G3" s="17">
        <v>45955</v>
      </c>
      <c r="I3" s="20"/>
      <c r="J3" s="2"/>
      <c r="K3" s="2"/>
      <c r="L3" s="2"/>
      <c r="M3" s="2"/>
    </row>
    <row r="5" spans="1:13" x14ac:dyDescent="0.25">
      <c r="A5" s="4" t="s">
        <v>2</v>
      </c>
      <c r="B5" s="37" t="s">
        <v>39</v>
      </c>
      <c r="C5" s="37"/>
      <c r="D5" s="37"/>
      <c r="E5" s="37"/>
      <c r="F5" s="37"/>
      <c r="G5" s="37"/>
    </row>
    <row r="6" spans="1:13" x14ac:dyDescent="0.25">
      <c r="A6" s="36"/>
      <c r="B6" s="36"/>
      <c r="C6" s="36"/>
      <c r="D6" s="36"/>
      <c r="E6" s="36"/>
      <c r="F6" s="36"/>
      <c r="G6" s="36"/>
    </row>
    <row r="7" spans="1:13" x14ac:dyDescent="0.25">
      <c r="A7" s="4" t="s">
        <v>3</v>
      </c>
      <c r="B7" s="37" t="s">
        <v>24</v>
      </c>
      <c r="C7" s="37"/>
      <c r="D7" s="37"/>
      <c r="E7" s="37"/>
      <c r="F7" s="37"/>
      <c r="G7" s="37"/>
    </row>
    <row r="8" spans="1:13" x14ac:dyDescent="0.25">
      <c r="A8" s="36"/>
      <c r="B8" s="36"/>
      <c r="C8" s="36"/>
      <c r="D8" s="36"/>
      <c r="E8" s="36"/>
      <c r="F8" s="36"/>
      <c r="G8" s="36"/>
    </row>
    <row r="9" spans="1:13" x14ac:dyDescent="0.25">
      <c r="A9" s="4" t="s">
        <v>4</v>
      </c>
      <c r="B9" s="37" t="s">
        <v>25</v>
      </c>
      <c r="C9" s="37"/>
      <c r="D9" s="37"/>
      <c r="E9" s="37"/>
      <c r="F9" s="37"/>
      <c r="G9" s="37"/>
    </row>
    <row r="10" spans="1:13" x14ac:dyDescent="0.25">
      <c r="A10" s="36"/>
      <c r="B10" s="36"/>
      <c r="C10" s="36"/>
      <c r="D10" s="36"/>
      <c r="E10" s="36"/>
      <c r="F10" s="36"/>
      <c r="G10" s="36"/>
    </row>
    <row r="11" spans="1:13" x14ac:dyDescent="0.25">
      <c r="A11" s="4" t="s">
        <v>5</v>
      </c>
      <c r="B11" s="37" t="s">
        <v>44</v>
      </c>
      <c r="C11" s="37"/>
      <c r="D11" s="37"/>
      <c r="E11" s="37"/>
      <c r="F11" s="37"/>
      <c r="G11" s="37"/>
    </row>
    <row r="12" spans="1:13" x14ac:dyDescent="0.25">
      <c r="A12" s="40"/>
      <c r="B12" s="40"/>
      <c r="C12" s="40"/>
      <c r="D12" s="40"/>
      <c r="E12" s="40"/>
      <c r="F12" s="40"/>
      <c r="G12" s="40"/>
    </row>
    <row r="13" spans="1:13" x14ac:dyDescent="0.25">
      <c r="A13" s="4" t="s">
        <v>6</v>
      </c>
      <c r="B13" s="3">
        <v>45453</v>
      </c>
      <c r="C13" s="4"/>
      <c r="D13" s="4" t="s">
        <v>17</v>
      </c>
      <c r="E13" s="4" t="s">
        <v>14</v>
      </c>
      <c r="F13" s="4"/>
      <c r="G13" s="12">
        <v>312273746</v>
      </c>
      <c r="H13" t="s">
        <v>14</v>
      </c>
      <c r="I13" s="1" t="s">
        <v>14</v>
      </c>
      <c r="J13" s="6"/>
      <c r="K13" s="1"/>
    </row>
    <row r="14" spans="1:13" x14ac:dyDescent="0.25">
      <c r="A14" s="4" t="s">
        <v>7</v>
      </c>
      <c r="B14" s="7">
        <v>46212</v>
      </c>
      <c r="C14" s="4"/>
      <c r="D14" s="4" t="s">
        <v>9</v>
      </c>
      <c r="E14" s="4"/>
      <c r="F14" s="4"/>
      <c r="G14" s="11"/>
    </row>
    <row r="15" spans="1:13" x14ac:dyDescent="0.25">
      <c r="A15" s="4" t="s">
        <v>8</v>
      </c>
      <c r="B15" s="14">
        <v>7.0000000000000007E-2</v>
      </c>
      <c r="C15" s="4"/>
      <c r="D15" s="4" t="s">
        <v>20</v>
      </c>
      <c r="E15" s="4"/>
      <c r="F15" s="4"/>
      <c r="G15" s="12">
        <v>312273746</v>
      </c>
      <c r="J15" t="s">
        <v>14</v>
      </c>
    </row>
    <row r="16" spans="1:13" x14ac:dyDescent="0.25">
      <c r="A16" s="4" t="s">
        <v>40</v>
      </c>
      <c r="B16" s="18" t="s">
        <v>41</v>
      </c>
      <c r="C16" s="4"/>
      <c r="D16" s="4" t="s">
        <v>10</v>
      </c>
      <c r="E16" s="4"/>
      <c r="F16" s="4"/>
      <c r="G16" s="8">
        <v>309923608</v>
      </c>
      <c r="I16" t="s">
        <v>14</v>
      </c>
    </row>
    <row r="17" spans="1:7" x14ac:dyDescent="0.25">
      <c r="A17" s="4"/>
      <c r="B17" s="5"/>
      <c r="C17" s="4"/>
      <c r="D17" s="4" t="s">
        <v>19</v>
      </c>
      <c r="E17" s="4"/>
      <c r="F17" s="4"/>
      <c r="G17" s="13">
        <f>G15-G16</f>
        <v>2350138</v>
      </c>
    </row>
    <row r="18" spans="1:7" ht="18" customHeight="1" x14ac:dyDescent="0.25">
      <c r="A18" s="4" t="s">
        <v>11</v>
      </c>
      <c r="B18" s="38" t="s">
        <v>32</v>
      </c>
      <c r="C18" s="38"/>
      <c r="D18" s="38"/>
      <c r="E18" s="38"/>
      <c r="F18" s="38"/>
      <c r="G18" s="38"/>
    </row>
    <row r="19" spans="1:7" x14ac:dyDescent="0.25">
      <c r="B19" s="39" t="s">
        <v>33</v>
      </c>
      <c r="C19" s="39"/>
      <c r="D19" s="39"/>
      <c r="E19" s="39"/>
      <c r="F19" s="39"/>
      <c r="G19" s="39"/>
    </row>
    <row r="20" spans="1:7" x14ac:dyDescent="0.25">
      <c r="A20" s="4" t="s">
        <v>16</v>
      </c>
    </row>
    <row r="21" spans="1:7" ht="15" customHeight="1" x14ac:dyDescent="0.25">
      <c r="B21" s="31" t="s">
        <v>13</v>
      </c>
      <c r="C21" s="31"/>
      <c r="D21" s="31" t="s">
        <v>15</v>
      </c>
      <c r="E21" s="31"/>
      <c r="F21" s="32" t="s">
        <v>18</v>
      </c>
      <c r="G21" s="33"/>
    </row>
    <row r="22" spans="1:7" x14ac:dyDescent="0.25">
      <c r="B22" s="31"/>
      <c r="C22" s="31"/>
      <c r="D22" s="31"/>
      <c r="E22" s="31"/>
      <c r="F22" s="34"/>
      <c r="G22" s="35"/>
    </row>
    <row r="23" spans="1:7" x14ac:dyDescent="0.25">
      <c r="B23" s="25" t="s">
        <v>22</v>
      </c>
      <c r="C23" s="27"/>
      <c r="D23" s="25" t="s">
        <v>21</v>
      </c>
      <c r="E23" s="26"/>
      <c r="F23" s="28">
        <v>6</v>
      </c>
      <c r="G23" s="26"/>
    </row>
    <row r="24" spans="1:7" x14ac:dyDescent="0.25">
      <c r="B24" s="25" t="s">
        <v>29</v>
      </c>
      <c r="C24" s="27"/>
      <c r="D24" s="25" t="s">
        <v>26</v>
      </c>
      <c r="E24" s="26"/>
      <c r="F24" s="28">
        <v>14</v>
      </c>
      <c r="G24" s="26"/>
    </row>
    <row r="25" spans="1:7" x14ac:dyDescent="0.25">
      <c r="B25" s="25" t="s">
        <v>30</v>
      </c>
      <c r="C25" s="27"/>
      <c r="D25" s="25" t="s">
        <v>27</v>
      </c>
      <c r="E25" s="26"/>
      <c r="F25" s="28">
        <v>2</v>
      </c>
      <c r="G25" s="26"/>
    </row>
    <row r="26" spans="1:7" x14ac:dyDescent="0.25">
      <c r="B26" s="25" t="s">
        <v>31</v>
      </c>
      <c r="C26" s="27"/>
      <c r="D26" s="25" t="s">
        <v>28</v>
      </c>
      <c r="E26" s="26"/>
      <c r="F26" s="28">
        <v>19</v>
      </c>
      <c r="G26" s="26"/>
    </row>
    <row r="27" spans="1:7" x14ac:dyDescent="0.25">
      <c r="B27" s="25" t="s">
        <v>35</v>
      </c>
      <c r="C27" s="27"/>
      <c r="D27" s="25" t="s">
        <v>36</v>
      </c>
      <c r="E27" s="26"/>
      <c r="F27" s="28">
        <v>56</v>
      </c>
      <c r="G27" s="26"/>
    </row>
    <row r="28" spans="1:7" x14ac:dyDescent="0.25">
      <c r="B28" s="24" t="s">
        <v>42</v>
      </c>
      <c r="C28" s="24"/>
      <c r="D28" s="24" t="s">
        <v>73</v>
      </c>
      <c r="E28" s="24"/>
      <c r="F28" s="24">
        <v>13</v>
      </c>
      <c r="G28" s="24"/>
    </row>
    <row r="29" spans="1:7" x14ac:dyDescent="0.25">
      <c r="B29" s="24" t="s">
        <v>42</v>
      </c>
      <c r="C29" s="24"/>
      <c r="D29" s="24" t="s">
        <v>43</v>
      </c>
      <c r="E29" s="24"/>
      <c r="F29" s="24">
        <v>4</v>
      </c>
      <c r="G29" s="24"/>
    </row>
    <row r="30" spans="1:7" x14ac:dyDescent="0.25">
      <c r="B30" s="25" t="s">
        <v>42</v>
      </c>
      <c r="C30" s="27"/>
      <c r="D30" s="25" t="s">
        <v>45</v>
      </c>
      <c r="E30" s="26"/>
      <c r="F30" s="28">
        <v>5</v>
      </c>
      <c r="G30" s="26"/>
    </row>
    <row r="31" spans="1:7" x14ac:dyDescent="0.25">
      <c r="B31" s="25" t="s">
        <v>42</v>
      </c>
      <c r="C31" s="27"/>
      <c r="D31" s="25" t="s">
        <v>54</v>
      </c>
      <c r="E31" s="26"/>
      <c r="F31" s="28">
        <v>8</v>
      </c>
      <c r="G31" s="26"/>
    </row>
    <row r="32" spans="1:7" x14ac:dyDescent="0.25">
      <c r="B32" s="24" t="s">
        <v>80</v>
      </c>
      <c r="C32" s="24"/>
      <c r="D32" s="24" t="s">
        <v>46</v>
      </c>
      <c r="E32" s="24"/>
      <c r="F32" s="24">
        <v>5</v>
      </c>
      <c r="G32" s="24"/>
    </row>
    <row r="33" spans="1:13" x14ac:dyDescent="0.25">
      <c r="A33" s="19"/>
      <c r="B33" s="24" t="s">
        <v>49</v>
      </c>
      <c r="C33" s="24"/>
      <c r="D33" s="24" t="s">
        <v>50</v>
      </c>
      <c r="E33" s="24"/>
      <c r="F33" s="24">
        <v>6</v>
      </c>
      <c r="G33" s="24"/>
    </row>
    <row r="34" spans="1:13" x14ac:dyDescent="0.25">
      <c r="A34" s="19"/>
      <c r="B34" s="24" t="s">
        <v>78</v>
      </c>
      <c r="C34" s="24"/>
      <c r="D34" s="24" t="s">
        <v>79</v>
      </c>
      <c r="E34" s="24"/>
      <c r="F34" s="24">
        <v>7</v>
      </c>
      <c r="G34" s="24"/>
      <c r="H34" s="19"/>
      <c r="I34" s="19"/>
      <c r="J34" s="19"/>
      <c r="K34" s="19"/>
      <c r="L34" s="19"/>
      <c r="M34" s="19"/>
    </row>
    <row r="35" spans="1:13" x14ac:dyDescent="0.25">
      <c r="A35" s="19"/>
      <c r="B35" s="24" t="s">
        <v>51</v>
      </c>
      <c r="C35" s="24"/>
      <c r="D35" s="24" t="s">
        <v>57</v>
      </c>
      <c r="E35" s="24"/>
      <c r="F35" s="24">
        <v>9</v>
      </c>
      <c r="G35" s="24"/>
      <c r="H35" s="19"/>
      <c r="I35" s="19"/>
      <c r="J35" s="19"/>
      <c r="K35" s="19"/>
      <c r="L35" s="19"/>
      <c r="M35" s="19"/>
    </row>
    <row r="36" spans="1:13" x14ac:dyDescent="0.25">
      <c r="A36" s="19"/>
      <c r="B36" s="24" t="s">
        <v>52</v>
      </c>
      <c r="C36" s="24"/>
      <c r="D36" s="24" t="s">
        <v>53</v>
      </c>
      <c r="E36" s="24"/>
      <c r="F36" s="24">
        <v>32</v>
      </c>
      <c r="G36" s="24"/>
      <c r="H36" s="19"/>
      <c r="I36" s="19"/>
      <c r="J36" s="19"/>
      <c r="K36" s="19"/>
      <c r="L36" s="19"/>
      <c r="M36" s="19"/>
    </row>
    <row r="37" spans="1:13" x14ac:dyDescent="0.25">
      <c r="A37" s="19"/>
      <c r="B37" s="24" t="s">
        <v>62</v>
      </c>
      <c r="C37" s="24"/>
      <c r="D37" s="24" t="s">
        <v>69</v>
      </c>
      <c r="E37" s="24"/>
      <c r="F37" s="24">
        <v>2</v>
      </c>
      <c r="G37" s="24"/>
      <c r="H37" s="19"/>
      <c r="I37" s="19"/>
      <c r="J37" s="19"/>
      <c r="K37" s="19"/>
      <c r="L37" s="19"/>
      <c r="M37" s="19"/>
    </row>
    <row r="38" spans="1:13" x14ac:dyDescent="0.25">
      <c r="A38" s="19"/>
      <c r="B38" s="24" t="s">
        <v>63</v>
      </c>
      <c r="C38" s="24"/>
      <c r="D38" s="24" t="s">
        <v>64</v>
      </c>
      <c r="E38" s="24"/>
      <c r="F38" s="24">
        <v>4</v>
      </c>
      <c r="G38" s="24"/>
      <c r="H38" s="19"/>
      <c r="I38" s="19"/>
      <c r="J38" s="19"/>
      <c r="K38" s="19"/>
      <c r="L38" s="19"/>
      <c r="M38" s="19"/>
    </row>
    <row r="39" spans="1:13" ht="18" customHeight="1" x14ac:dyDescent="0.25">
      <c r="A39" s="19"/>
      <c r="B39" s="24" t="s">
        <v>81</v>
      </c>
      <c r="C39" s="24"/>
      <c r="D39" s="24" t="s">
        <v>67</v>
      </c>
      <c r="E39" s="24"/>
      <c r="F39" s="24">
        <v>3</v>
      </c>
      <c r="G39" s="24"/>
    </row>
    <row r="40" spans="1:13" ht="15" customHeight="1" x14ac:dyDescent="0.25">
      <c r="A40" s="19"/>
      <c r="B40" s="24"/>
      <c r="C40" s="24"/>
      <c r="D40" s="24"/>
      <c r="E40" s="24"/>
      <c r="F40" s="24"/>
      <c r="G40" s="24"/>
    </row>
    <row r="41" spans="1:13" ht="15" customHeight="1" x14ac:dyDescent="0.25">
      <c r="A41" s="19"/>
      <c r="B41" s="24"/>
      <c r="C41" s="24"/>
      <c r="D41" s="24"/>
      <c r="E41" s="24"/>
      <c r="F41" s="24"/>
      <c r="G41" s="24"/>
    </row>
    <row r="42" spans="1:13" ht="15" customHeight="1" x14ac:dyDescent="0.25">
      <c r="A42" s="19"/>
      <c r="B42" s="24"/>
      <c r="C42" s="24"/>
      <c r="D42" s="24"/>
      <c r="E42" s="24"/>
      <c r="F42" s="24"/>
      <c r="G42" s="24"/>
    </row>
    <row r="43" spans="1:13" ht="30" customHeight="1" x14ac:dyDescent="0.25">
      <c r="A43" s="19"/>
      <c r="B43" s="25" t="s">
        <v>86</v>
      </c>
      <c r="C43" s="26"/>
      <c r="D43" s="25" t="s">
        <v>87</v>
      </c>
      <c r="E43" s="26"/>
      <c r="F43" s="25">
        <f>SUM(F23:G42)</f>
        <v>195</v>
      </c>
      <c r="G43" s="26"/>
    </row>
    <row r="44" spans="1:13" ht="30" customHeight="1" x14ac:dyDescent="0.25">
      <c r="A44" s="4" t="s">
        <v>12</v>
      </c>
      <c r="B44" s="21"/>
      <c r="C44" s="22"/>
      <c r="D44" s="22"/>
      <c r="E44" s="22"/>
      <c r="F44" s="22"/>
      <c r="G44" s="23"/>
    </row>
    <row r="45" spans="1:13" ht="30" customHeight="1" x14ac:dyDescent="0.25">
      <c r="A45" s="9" t="s">
        <v>23</v>
      </c>
      <c r="B45" s="21" t="s">
        <v>104</v>
      </c>
      <c r="C45" s="22"/>
      <c r="D45" s="22"/>
      <c r="E45" s="22"/>
      <c r="F45" s="22"/>
      <c r="G45" s="23"/>
    </row>
    <row r="46" spans="1:13" ht="30" customHeight="1" x14ac:dyDescent="0.25">
      <c r="A46" s="9" t="s">
        <v>29</v>
      </c>
      <c r="B46" s="21" t="s">
        <v>91</v>
      </c>
      <c r="C46" s="22"/>
      <c r="D46" s="22"/>
      <c r="E46" s="22"/>
      <c r="F46" s="22"/>
      <c r="G46" s="23"/>
    </row>
    <row r="47" spans="1:13" ht="30" customHeight="1" x14ac:dyDescent="0.25">
      <c r="A47" s="9" t="s">
        <v>30</v>
      </c>
      <c r="B47" s="21" t="s">
        <v>65</v>
      </c>
      <c r="C47" s="22"/>
      <c r="D47" s="22"/>
      <c r="E47" s="22"/>
      <c r="F47" s="22"/>
      <c r="G47" s="23"/>
    </row>
    <row r="48" spans="1:13" ht="30" customHeight="1" x14ac:dyDescent="0.25">
      <c r="A48" s="9" t="s">
        <v>31</v>
      </c>
      <c r="B48" s="21" t="s">
        <v>92</v>
      </c>
      <c r="C48" s="22"/>
      <c r="D48" s="22"/>
      <c r="E48" s="22"/>
      <c r="F48" s="22"/>
      <c r="G48" s="23"/>
    </row>
    <row r="49" spans="1:7" ht="30" customHeight="1" x14ac:dyDescent="0.25">
      <c r="A49" s="9" t="s">
        <v>34</v>
      </c>
      <c r="B49" s="21" t="s">
        <v>83</v>
      </c>
      <c r="C49" s="22"/>
      <c r="D49" s="22"/>
      <c r="E49" s="22"/>
      <c r="F49" s="22"/>
      <c r="G49" s="23"/>
    </row>
    <row r="50" spans="1:7" ht="30" customHeight="1" x14ac:dyDescent="0.25">
      <c r="A50" s="9" t="s">
        <v>61</v>
      </c>
      <c r="B50" s="21" t="s">
        <v>93</v>
      </c>
      <c r="C50" s="22"/>
      <c r="D50" s="22"/>
      <c r="E50" s="22"/>
      <c r="F50" s="22"/>
      <c r="G50" s="23"/>
    </row>
    <row r="51" spans="1:7" ht="30" customHeight="1" x14ac:dyDescent="0.25">
      <c r="A51" s="9" t="s">
        <v>47</v>
      </c>
      <c r="B51" s="21" t="s">
        <v>74</v>
      </c>
      <c r="C51" s="22"/>
      <c r="D51" s="22"/>
      <c r="E51" s="22"/>
      <c r="F51" s="22"/>
      <c r="G51" s="23"/>
    </row>
    <row r="52" spans="1:7" ht="30" customHeight="1" x14ac:dyDescent="0.25">
      <c r="A52" s="9" t="s">
        <v>48</v>
      </c>
      <c r="B52" s="21" t="s">
        <v>88</v>
      </c>
      <c r="C52" s="22"/>
      <c r="D52" s="22"/>
      <c r="E52" s="22"/>
      <c r="F52" s="22"/>
      <c r="G52" s="23"/>
    </row>
    <row r="53" spans="1:7" ht="30" customHeight="1" x14ac:dyDescent="0.25">
      <c r="A53" s="9" t="s">
        <v>55</v>
      </c>
      <c r="B53" s="21" t="s">
        <v>75</v>
      </c>
      <c r="C53" s="22"/>
      <c r="D53" s="22"/>
      <c r="E53" s="22"/>
      <c r="F53" s="22"/>
      <c r="G53" s="23"/>
    </row>
    <row r="54" spans="1:7" ht="30" customHeight="1" x14ac:dyDescent="0.25">
      <c r="A54" s="9" t="s">
        <v>80</v>
      </c>
      <c r="B54" s="21" t="s">
        <v>94</v>
      </c>
      <c r="C54" s="22"/>
      <c r="D54" s="22"/>
      <c r="E54" s="22"/>
      <c r="F54" s="22"/>
      <c r="G54" s="23"/>
    </row>
    <row r="55" spans="1:7" ht="30" customHeight="1" x14ac:dyDescent="0.25">
      <c r="A55" s="9" t="s">
        <v>49</v>
      </c>
      <c r="B55" s="21" t="s">
        <v>95</v>
      </c>
      <c r="C55" s="22"/>
      <c r="D55" s="22"/>
      <c r="E55" s="22"/>
      <c r="F55" s="22"/>
      <c r="G55" s="23"/>
    </row>
    <row r="56" spans="1:7" ht="30" customHeight="1" x14ac:dyDescent="0.25">
      <c r="A56" s="9" t="s">
        <v>78</v>
      </c>
      <c r="B56" s="21" t="s">
        <v>97</v>
      </c>
      <c r="C56" s="22"/>
      <c r="D56" s="22"/>
      <c r="E56" s="22"/>
      <c r="F56" s="22"/>
      <c r="G56" s="23"/>
    </row>
    <row r="57" spans="1:7" ht="30" customHeight="1" x14ac:dyDescent="0.25">
      <c r="A57" s="9" t="s">
        <v>56</v>
      </c>
      <c r="B57" s="21" t="s">
        <v>96</v>
      </c>
      <c r="C57" s="22"/>
      <c r="D57" s="22"/>
      <c r="E57" s="22"/>
      <c r="F57" s="22"/>
      <c r="G57" s="23"/>
    </row>
    <row r="58" spans="1:7" ht="30" customHeight="1" x14ac:dyDescent="0.25">
      <c r="A58" s="9" t="s">
        <v>52</v>
      </c>
      <c r="B58" s="21" t="s">
        <v>105</v>
      </c>
      <c r="C58" s="22"/>
      <c r="D58" s="22"/>
      <c r="E58" s="22"/>
      <c r="F58" s="22"/>
      <c r="G58" s="23"/>
    </row>
    <row r="59" spans="1:7" ht="30" customHeight="1" x14ac:dyDescent="0.25">
      <c r="A59" s="9" t="s">
        <v>62</v>
      </c>
      <c r="B59" s="21" t="s">
        <v>89</v>
      </c>
      <c r="C59" s="22"/>
      <c r="D59" s="22"/>
      <c r="E59" s="22"/>
      <c r="F59" s="22"/>
      <c r="G59" s="23"/>
    </row>
    <row r="60" spans="1:7" ht="30" customHeight="1" x14ac:dyDescent="0.25">
      <c r="A60" s="9" t="s">
        <v>63</v>
      </c>
      <c r="B60" s="21" t="s">
        <v>71</v>
      </c>
      <c r="C60" s="22"/>
      <c r="D60" s="22"/>
      <c r="E60" s="22"/>
      <c r="F60" s="22"/>
      <c r="G60" s="23"/>
    </row>
    <row r="61" spans="1:7" ht="30" customHeight="1" x14ac:dyDescent="0.25">
      <c r="A61" s="9" t="s">
        <v>66</v>
      </c>
      <c r="B61" s="21" t="s">
        <v>82</v>
      </c>
      <c r="C61" s="22"/>
      <c r="D61" s="22"/>
      <c r="E61" s="22"/>
      <c r="F61" s="22"/>
      <c r="G61" s="23"/>
    </row>
    <row r="62" spans="1:7" ht="30" customHeight="1" x14ac:dyDescent="0.25">
      <c r="A62" s="9"/>
      <c r="B62" s="21"/>
      <c r="C62" s="22"/>
      <c r="D62" s="22"/>
      <c r="E62" s="22"/>
      <c r="F62" s="22"/>
      <c r="G62" s="23"/>
    </row>
    <row r="63" spans="1:7" ht="30" customHeight="1" x14ac:dyDescent="0.25">
      <c r="A63" s="9"/>
      <c r="B63" s="21"/>
      <c r="C63" s="22"/>
      <c r="D63" s="22"/>
      <c r="E63" s="22"/>
      <c r="F63" s="22"/>
      <c r="G63" s="23"/>
    </row>
    <row r="64" spans="1:7" ht="30" customHeight="1" x14ac:dyDescent="0.25">
      <c r="A64" s="9"/>
      <c r="B64" s="21"/>
      <c r="C64" s="22"/>
      <c r="D64" s="22"/>
      <c r="E64" s="22"/>
      <c r="F64" s="22"/>
      <c r="G64" s="23"/>
    </row>
    <row r="65" spans="1:7" ht="30" customHeight="1" x14ac:dyDescent="0.25">
      <c r="A65" s="9"/>
      <c r="B65" s="21"/>
      <c r="C65" s="22"/>
      <c r="D65" s="22"/>
      <c r="E65" s="22"/>
      <c r="F65" s="22"/>
      <c r="G65" s="23"/>
    </row>
    <row r="66" spans="1:7" ht="30" customHeight="1" x14ac:dyDescent="0.25"/>
    <row r="67" spans="1:7" ht="30" customHeight="1" x14ac:dyDescent="0.25">
      <c r="A67" s="9" t="s">
        <v>60</v>
      </c>
      <c r="B67" s="21" t="s">
        <v>98</v>
      </c>
      <c r="C67" s="22"/>
      <c r="D67" s="22"/>
      <c r="E67" s="22"/>
      <c r="F67" s="22"/>
      <c r="G67" s="23"/>
    </row>
    <row r="68" spans="1:7" ht="30" customHeight="1" x14ac:dyDescent="0.25">
      <c r="A68" s="15" t="s">
        <v>59</v>
      </c>
    </row>
    <row r="69" spans="1:7" ht="30" customHeight="1" x14ac:dyDescent="0.25">
      <c r="A69" s="9" t="s">
        <v>23</v>
      </c>
      <c r="B69" s="21" t="s">
        <v>106</v>
      </c>
      <c r="C69" s="22"/>
      <c r="D69" s="22"/>
      <c r="E69" s="22"/>
      <c r="F69" s="22"/>
      <c r="G69" s="23"/>
    </row>
    <row r="70" spans="1:7" ht="30" customHeight="1" x14ac:dyDescent="0.25">
      <c r="A70" s="9" t="s">
        <v>29</v>
      </c>
      <c r="B70" s="21" t="s">
        <v>99</v>
      </c>
      <c r="C70" s="22"/>
      <c r="D70" s="22"/>
      <c r="E70" s="22"/>
      <c r="F70" s="22"/>
      <c r="G70" s="23"/>
    </row>
    <row r="71" spans="1:7" ht="29.45" customHeight="1" x14ac:dyDescent="0.25">
      <c r="A71" s="9" t="s">
        <v>30</v>
      </c>
      <c r="B71" s="21" t="s">
        <v>72</v>
      </c>
      <c r="C71" s="22"/>
      <c r="D71" s="22"/>
      <c r="E71" s="22"/>
      <c r="F71" s="22"/>
      <c r="G71" s="23"/>
    </row>
    <row r="72" spans="1:7" ht="28.5" customHeight="1" x14ac:dyDescent="0.25">
      <c r="A72" s="9" t="s">
        <v>31</v>
      </c>
      <c r="B72" s="21" t="s">
        <v>84</v>
      </c>
      <c r="C72" s="22"/>
      <c r="D72" s="22"/>
      <c r="E72" s="22"/>
      <c r="F72" s="22"/>
      <c r="G72" s="23"/>
    </row>
    <row r="73" spans="1:7" ht="28.5" customHeight="1" x14ac:dyDescent="0.25">
      <c r="A73" s="9" t="s">
        <v>38</v>
      </c>
      <c r="B73" s="21" t="s">
        <v>101</v>
      </c>
      <c r="C73" s="22"/>
      <c r="D73" s="22"/>
      <c r="E73" s="22"/>
      <c r="F73" s="22"/>
      <c r="G73" s="23"/>
    </row>
    <row r="74" spans="1:7" ht="28.5" customHeight="1" x14ac:dyDescent="0.25">
      <c r="A74" s="9" t="s">
        <v>70</v>
      </c>
      <c r="B74" s="21" t="s">
        <v>100</v>
      </c>
      <c r="C74" s="22"/>
      <c r="D74" s="22"/>
      <c r="E74" s="22"/>
      <c r="F74" s="22"/>
      <c r="G74" s="23"/>
    </row>
    <row r="75" spans="1:7" ht="28.5" customHeight="1" x14ac:dyDescent="0.25">
      <c r="A75" s="9" t="s">
        <v>47</v>
      </c>
      <c r="B75" s="21" t="s">
        <v>77</v>
      </c>
      <c r="C75" s="22"/>
      <c r="D75" s="22"/>
      <c r="E75" s="22"/>
      <c r="F75" s="22"/>
      <c r="G75" s="23"/>
    </row>
    <row r="76" spans="1:7" ht="28.5" customHeight="1" x14ac:dyDescent="0.25">
      <c r="A76" s="9" t="s">
        <v>48</v>
      </c>
      <c r="B76" s="21" t="s">
        <v>102</v>
      </c>
      <c r="C76" s="22"/>
      <c r="D76" s="22"/>
      <c r="E76" s="22"/>
      <c r="F76" s="22"/>
      <c r="G76" s="23"/>
    </row>
    <row r="77" spans="1:7" ht="30" customHeight="1" x14ac:dyDescent="0.25">
      <c r="A77" s="9" t="s">
        <v>55</v>
      </c>
      <c r="B77" s="21" t="s">
        <v>76</v>
      </c>
      <c r="C77" s="22"/>
      <c r="D77" s="22"/>
      <c r="E77" s="22"/>
      <c r="F77" s="22"/>
      <c r="G77" s="23"/>
    </row>
    <row r="78" spans="1:7" ht="30" customHeight="1" x14ac:dyDescent="0.25">
      <c r="A78" s="9" t="s">
        <v>49</v>
      </c>
      <c r="B78" s="21" t="s">
        <v>107</v>
      </c>
      <c r="C78" s="22"/>
      <c r="D78" s="22"/>
      <c r="E78" s="22"/>
      <c r="F78" s="22"/>
      <c r="G78" s="23"/>
    </row>
    <row r="79" spans="1:7" ht="30" customHeight="1" x14ac:dyDescent="0.25">
      <c r="A79" s="9" t="s">
        <v>78</v>
      </c>
      <c r="B79" s="21" t="s">
        <v>90</v>
      </c>
      <c r="C79" s="22"/>
      <c r="D79" s="22"/>
      <c r="E79" s="22"/>
      <c r="F79" s="22"/>
      <c r="G79" s="23"/>
    </row>
    <row r="80" spans="1:7" ht="30" customHeight="1" x14ac:dyDescent="0.25">
      <c r="A80" s="9" t="s">
        <v>58</v>
      </c>
      <c r="B80" s="21" t="s">
        <v>108</v>
      </c>
      <c r="C80" s="22"/>
      <c r="D80" s="22"/>
      <c r="E80" s="22"/>
      <c r="F80" s="22"/>
      <c r="G80" s="23"/>
    </row>
    <row r="81" spans="1:7" ht="30" customHeight="1" x14ac:dyDescent="0.25">
      <c r="A81" s="9" t="s">
        <v>52</v>
      </c>
      <c r="B81" s="21" t="s">
        <v>85</v>
      </c>
      <c r="C81" s="22"/>
      <c r="D81" s="22"/>
      <c r="E81" s="22"/>
      <c r="F81" s="22"/>
      <c r="G81" s="23"/>
    </row>
    <row r="82" spans="1:7" ht="30" customHeight="1" x14ac:dyDescent="0.25">
      <c r="A82" s="9" t="s">
        <v>62</v>
      </c>
      <c r="B82" s="21" t="s">
        <v>89</v>
      </c>
      <c r="C82" s="22"/>
      <c r="D82" s="22"/>
      <c r="E82" s="22"/>
      <c r="F82" s="22"/>
      <c r="G82" s="23"/>
    </row>
    <row r="83" spans="1:7" ht="30" customHeight="1" x14ac:dyDescent="0.25">
      <c r="A83" s="9" t="s">
        <v>63</v>
      </c>
      <c r="B83" s="21" t="s">
        <v>103</v>
      </c>
      <c r="C83" s="22"/>
      <c r="D83" s="22"/>
      <c r="E83" s="22"/>
      <c r="F83" s="22"/>
      <c r="G83" s="23"/>
    </row>
    <row r="84" spans="1:7" ht="30" customHeight="1" x14ac:dyDescent="0.25">
      <c r="A84" s="9" t="s">
        <v>66</v>
      </c>
      <c r="B84" s="21" t="s">
        <v>68</v>
      </c>
      <c r="C84" s="22"/>
      <c r="D84" s="22"/>
      <c r="E84" s="22"/>
      <c r="F84" s="22"/>
      <c r="G84" s="23"/>
    </row>
    <row r="85" spans="1:7" ht="30" customHeight="1" x14ac:dyDescent="0.25">
      <c r="A85" s="9"/>
      <c r="B85" s="21"/>
      <c r="C85" s="22"/>
      <c r="D85" s="22"/>
      <c r="E85" s="22"/>
      <c r="F85" s="22"/>
      <c r="G85" s="23"/>
    </row>
    <row r="87" spans="1:7" ht="18" customHeight="1" x14ac:dyDescent="0.25">
      <c r="A87" s="16" t="s">
        <v>37</v>
      </c>
    </row>
    <row r="88" spans="1:7" ht="30" customHeight="1" x14ac:dyDescent="0.25">
      <c r="A88" s="9" t="s">
        <v>60</v>
      </c>
      <c r="B88" s="21" t="s">
        <v>98</v>
      </c>
      <c r="C88" s="22"/>
      <c r="D88" s="22"/>
      <c r="E88" s="22"/>
      <c r="F88" s="22"/>
      <c r="G88" s="23"/>
    </row>
    <row r="90" spans="1:7" x14ac:dyDescent="0.25">
      <c r="B90" s="4"/>
    </row>
    <row r="91" spans="1:7" x14ac:dyDescent="0.25">
      <c r="B91" s="10"/>
      <c r="C91" s="10"/>
      <c r="D91" s="10"/>
      <c r="E91" s="10"/>
      <c r="F91" s="10"/>
      <c r="G91" s="10"/>
    </row>
    <row r="92" spans="1:7" x14ac:dyDescent="0.25">
      <c r="B92" s="10"/>
      <c r="C92" s="10"/>
      <c r="D92" s="10"/>
      <c r="E92" s="10"/>
      <c r="F92" s="10"/>
      <c r="G92" s="10"/>
    </row>
  </sheetData>
  <mergeCells count="119">
    <mergeCell ref="F28:G28"/>
    <mergeCell ref="B61:G61"/>
    <mergeCell ref="B67:G67"/>
    <mergeCell ref="B76:G76"/>
    <mergeCell ref="B88:G88"/>
    <mergeCell ref="B80:G80"/>
    <mergeCell ref="B72:G72"/>
    <mergeCell ref="B73:G73"/>
    <mergeCell ref="B75:G75"/>
    <mergeCell ref="B74:G74"/>
    <mergeCell ref="B78:G78"/>
    <mergeCell ref="B85:G85"/>
    <mergeCell ref="F32:G32"/>
    <mergeCell ref="B31:C31"/>
    <mergeCell ref="D31:E31"/>
    <mergeCell ref="F31:G31"/>
    <mergeCell ref="B60:G60"/>
    <mergeCell ref="F43:G43"/>
    <mergeCell ref="B55:G55"/>
    <mergeCell ref="B58:G58"/>
    <mergeCell ref="B54:G54"/>
    <mergeCell ref="B57:G57"/>
    <mergeCell ref="A1:G1"/>
    <mergeCell ref="E3:F3"/>
    <mergeCell ref="B21:C22"/>
    <mergeCell ref="D21:E22"/>
    <mergeCell ref="F21:G22"/>
    <mergeCell ref="A6:G6"/>
    <mergeCell ref="B5:G5"/>
    <mergeCell ref="B7:G7"/>
    <mergeCell ref="B9:G9"/>
    <mergeCell ref="B11:G11"/>
    <mergeCell ref="A8:G8"/>
    <mergeCell ref="A10:G10"/>
    <mergeCell ref="B18:G18"/>
    <mergeCell ref="B19:G19"/>
    <mergeCell ref="A12:G12"/>
    <mergeCell ref="B27:C27"/>
    <mergeCell ref="D27:E27"/>
    <mergeCell ref="B30:C30"/>
    <mergeCell ref="D30:E30"/>
    <mergeCell ref="F30:G30"/>
    <mergeCell ref="B40:C40"/>
    <mergeCell ref="D40:E40"/>
    <mergeCell ref="F40:G40"/>
    <mergeCell ref="B41:C41"/>
    <mergeCell ref="D41:E41"/>
    <mergeCell ref="F41:G41"/>
    <mergeCell ref="B32:C32"/>
    <mergeCell ref="D32:E32"/>
    <mergeCell ref="B33:C33"/>
    <mergeCell ref="D33:E33"/>
    <mergeCell ref="F33:G33"/>
    <mergeCell ref="B38:C38"/>
    <mergeCell ref="D38:E38"/>
    <mergeCell ref="F38:G38"/>
    <mergeCell ref="B39:C39"/>
    <mergeCell ref="D39:E39"/>
    <mergeCell ref="F39:G39"/>
    <mergeCell ref="B29:C29"/>
    <mergeCell ref="D28:E28"/>
    <mergeCell ref="B43:C43"/>
    <mergeCell ref="D43:E43"/>
    <mergeCell ref="B51:G51"/>
    <mergeCell ref="B59:G59"/>
    <mergeCell ref="B34:C34"/>
    <mergeCell ref="D34:E34"/>
    <mergeCell ref="F34:G34"/>
    <mergeCell ref="B44:G44"/>
    <mergeCell ref="B23:C23"/>
    <mergeCell ref="F23:G23"/>
    <mergeCell ref="D23:E23"/>
    <mergeCell ref="F26:G26"/>
    <mergeCell ref="D29:E29"/>
    <mergeCell ref="F29:G29"/>
    <mergeCell ref="B24:C24"/>
    <mergeCell ref="D24:E24"/>
    <mergeCell ref="F24:G24"/>
    <mergeCell ref="B25:C25"/>
    <mergeCell ref="D25:E25"/>
    <mergeCell ref="F25:G25"/>
    <mergeCell ref="F27:G27"/>
    <mergeCell ref="B26:C26"/>
    <mergeCell ref="D26:E26"/>
    <mergeCell ref="B28:C28"/>
    <mergeCell ref="B56:G56"/>
    <mergeCell ref="B53:G53"/>
    <mergeCell ref="B52:G52"/>
    <mergeCell ref="B50:G50"/>
    <mergeCell ref="B46:G46"/>
    <mergeCell ref="B45:G45"/>
    <mergeCell ref="B47:G47"/>
    <mergeCell ref="B48:G48"/>
    <mergeCell ref="B49:G49"/>
    <mergeCell ref="B42:C42"/>
    <mergeCell ref="D42:E42"/>
    <mergeCell ref="F42:G42"/>
    <mergeCell ref="B36:C36"/>
    <mergeCell ref="D36:E36"/>
    <mergeCell ref="F36:G36"/>
    <mergeCell ref="B35:C35"/>
    <mergeCell ref="D35:E35"/>
    <mergeCell ref="F35:G35"/>
    <mergeCell ref="B37:C37"/>
    <mergeCell ref="D37:E37"/>
    <mergeCell ref="F37:G37"/>
    <mergeCell ref="B84:G84"/>
    <mergeCell ref="B62:G62"/>
    <mergeCell ref="B63:G63"/>
    <mergeCell ref="B64:G64"/>
    <mergeCell ref="B65:G65"/>
    <mergeCell ref="B77:G77"/>
    <mergeCell ref="B79:G79"/>
    <mergeCell ref="B81:G81"/>
    <mergeCell ref="B82:G82"/>
    <mergeCell ref="B83:G83"/>
    <mergeCell ref="B69:G69"/>
    <mergeCell ref="B71:G71"/>
    <mergeCell ref="B70:G70"/>
  </mergeCells>
  <printOptions horizontalCentered="1" gridLines="1"/>
  <pageMargins left="0.25" right="0.25" top="0.75" bottom="0.75" header="0.3" footer="0.3"/>
  <pageSetup scale="81" orientation="portrait" r:id="rId1"/>
  <headerFooter differentOddEven="1"/>
  <colBreaks count="1" manualBreakCount="1">
    <brk id="10"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2465F5324F1F4FBE6C24806EF9A3E9" ma:contentTypeVersion="11" ma:contentTypeDescription="Create a new document." ma:contentTypeScope="" ma:versionID="05b2a297545f98e49e98e80187d09765">
  <xsd:schema xmlns:xsd="http://www.w3.org/2001/XMLSchema" xmlns:xs="http://www.w3.org/2001/XMLSchema" xmlns:p="http://schemas.microsoft.com/office/2006/metadata/properties" xmlns:ns3="9b9beb62-40f6-4d22-aa2f-64dd3308236c" targetNamespace="http://schemas.microsoft.com/office/2006/metadata/properties" ma:root="true" ma:fieldsID="a04822fa1d7c50336684698b1cfd4b9f" ns3:_="">
    <xsd:import namespace="9b9beb62-40f6-4d22-aa2f-64dd3308236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9beb62-40f6-4d22-aa2f-64dd3308236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b9beb62-40f6-4d22-aa2f-64dd3308236c" xsi:nil="true"/>
  </documentManagement>
</p:properties>
</file>

<file path=customXml/itemProps1.xml><?xml version="1.0" encoding="utf-8"?>
<ds:datastoreItem xmlns:ds="http://schemas.openxmlformats.org/officeDocument/2006/customXml" ds:itemID="{59703554-4F85-4AFE-B763-702848DA43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9beb62-40f6-4d22-aa2f-64dd33082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422700-3E58-4234-9B21-BF6165123710}">
  <ds:schemaRefs>
    <ds:schemaRef ds:uri="http://schemas.microsoft.com/sharepoint/v3/contenttype/forms"/>
  </ds:schemaRefs>
</ds:datastoreItem>
</file>

<file path=customXml/itemProps3.xml><?xml version="1.0" encoding="utf-8"?>
<ds:datastoreItem xmlns:ds="http://schemas.openxmlformats.org/officeDocument/2006/customXml" ds:itemID="{70739C5C-CFE5-4370-B566-1CC18CA72808}">
  <ds:schemaRefs>
    <ds:schemaRef ds:uri="http://purl.org/dc/terms/"/>
    <ds:schemaRef ds:uri="http://schemas.microsoft.com/office/infopath/2007/PartnerControls"/>
    <ds:schemaRef ds:uri="http://purl.org/dc/elements/1.1/"/>
    <ds:schemaRef ds:uri="http://schemas.openxmlformats.org/package/2006/metadata/core-properties"/>
    <ds:schemaRef ds:uri="http://purl.org/dc/dcmitype/"/>
    <ds:schemaRef ds:uri="9b9beb62-40f6-4d22-aa2f-64dd3308236c"/>
    <ds:schemaRef ds:uri="http://schemas.microsoft.com/office/2006/documentManagement/types"/>
    <ds:schemaRef ds:uri="http://www.w3.org/XML/1998/namespace"/>
    <ds:schemaRef ds:uri="http://schemas.microsoft.com/office/2006/metadata/properties"/>
  </ds:schemaRefs>
</ds:datastoreItem>
</file>

<file path=docMetadata/LabelInfo.xml><?xml version="1.0" encoding="utf-8"?>
<clbl:labelList xmlns:clbl="http://schemas.microsoft.com/office/2020/mipLabelMetadata">
  <clbl:label id="{80f04b11-fb1a-46a2-b1e5-bd6d5c5bb827}" enabled="0" method="" siteId="{80f04b11-fb1a-46a2-b1e5-bd6d5c5bb8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Hodson</dc:creator>
  <cp:lastModifiedBy>Dale Spencer</cp:lastModifiedBy>
  <cp:lastPrinted>2025-03-17T12:15:20Z</cp:lastPrinted>
  <dcterms:created xsi:type="dcterms:W3CDTF">2013-02-19T18:19:40Z</dcterms:created>
  <dcterms:modified xsi:type="dcterms:W3CDTF">2025-10-28T14:54:17Z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0x0101001D2465F5324F1F4FBE6C24806EF9A3E9</vt:lpwstr>
  </property>
</Properties>
</file>