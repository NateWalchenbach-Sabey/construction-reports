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dales\Desktop\Weekly Reports\"/>
    </mc:Choice>
  </mc:AlternateContent>
  <xr:revisionPtr revIDLastSave="0" documentId="13_ncr:1_{FEBF1C70-D894-476E-8F2B-3A2711EF7271}" xr6:coauthVersionLast="47" xr6:coauthVersionMax="47" xr10:uidLastSave="{00000000-0000-0000-0000-000000000000}"/>
  <bookViews>
    <workbookView xWindow="-120" yWindow="-120" windowWidth="29040" windowHeight="15720" xr2:uid="{00000000-000D-0000-FFFF-FFFF00000000}"/>
  </bookViews>
  <sheets>
    <sheet name="Page 1" sheetId="1" r:id="rId1"/>
    <sheet name="Sheet1" sheetId="2" r:id="rId2"/>
  </sheets>
  <definedNames>
    <definedName name="_xlnm.Print_Area" localSheetId="0">'Page 1'!$A$1:$G$41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7" i="1" l="1"/>
  <c r="G15" i="1"/>
</calcChain>
</file>

<file path=xl/sharedStrings.xml><?xml version="1.0" encoding="utf-8"?>
<sst xmlns="http://schemas.openxmlformats.org/spreadsheetml/2006/main" count="108" uniqueCount="93">
  <si>
    <t>Weekly Job Status Report</t>
  </si>
  <si>
    <t>Week Ending:</t>
  </si>
  <si>
    <t>PROJECT NAME:</t>
  </si>
  <si>
    <t>PROJECT NUMBER:</t>
  </si>
  <si>
    <t>START DATE:</t>
  </si>
  <si>
    <t>SCHEDULED COMPLETION:</t>
  </si>
  <si>
    <t>PROJECT % COMPLETE:</t>
  </si>
  <si>
    <t>APPROVED CHANGE ORDERS:</t>
  </si>
  <si>
    <t>EST. COST AT COMPLETION:</t>
  </si>
  <si>
    <t>SCHEDULE STATUS:</t>
  </si>
  <si>
    <t>WORK PERFORMED:</t>
  </si>
  <si>
    <t>Company</t>
  </si>
  <si>
    <t xml:space="preserve"> </t>
  </si>
  <si>
    <t>Craft</t>
  </si>
  <si>
    <t xml:space="preserve">Sabey </t>
  </si>
  <si>
    <t>BUDGET:</t>
  </si>
  <si>
    <t>Trade Workers</t>
  </si>
  <si>
    <t>CURRENT PROJECTED (+/-)</t>
  </si>
  <si>
    <t>REVISED BUDGET</t>
  </si>
  <si>
    <t>GC</t>
  </si>
  <si>
    <t>Sabey</t>
  </si>
  <si>
    <t>SAFETY / NEAR MISSES:</t>
  </si>
  <si>
    <t xml:space="preserve">Prepared By: </t>
  </si>
  <si>
    <t xml:space="preserve">Tripoint </t>
  </si>
  <si>
    <t xml:space="preserve">Civil </t>
  </si>
  <si>
    <t xml:space="preserve">Total number of workers </t>
  </si>
  <si>
    <t>DESIGN TEAM:</t>
  </si>
  <si>
    <t>Survey</t>
  </si>
  <si>
    <t>Shield of Armor</t>
  </si>
  <si>
    <t>Jobsite Safety overview</t>
  </si>
  <si>
    <t>Holmes Electric</t>
  </si>
  <si>
    <t>Electrical</t>
  </si>
  <si>
    <t>Complete Design/survey</t>
  </si>
  <si>
    <t>Shield of Armor Safety</t>
  </si>
  <si>
    <t>Complete Design</t>
  </si>
  <si>
    <t>Max Jones, Fred Deskin, JR Chambers, Patti Guay, Juan Peralta, Clayton Holzerland Aaron Sepanski  Michael Throneberry, Cassie Fabian</t>
  </si>
  <si>
    <t>Concrete</t>
  </si>
  <si>
    <t>Rainier Concrete</t>
  </si>
  <si>
    <t xml:space="preserve"> On schedule</t>
  </si>
  <si>
    <t>N/A</t>
  </si>
  <si>
    <t>SDC-COL-E Site LLO, Shell &amp; Core, E2 9MW Data Hall Build</t>
  </si>
  <si>
    <t>24-7-050-colesi, 24-7-051-colesc, 24-7-023-cole1</t>
  </si>
  <si>
    <t>TENANT:</t>
  </si>
  <si>
    <t>SABEY PROJECT STAFF:</t>
  </si>
  <si>
    <t xml:space="preserve"> TEAM:</t>
  </si>
  <si>
    <t>JHET, DEA, SABEY ARCHITECTURE, McKinstry, ENW,&amp; WB.</t>
  </si>
  <si>
    <t>C.S I</t>
  </si>
  <si>
    <t>McKinstry</t>
  </si>
  <si>
    <t>Plumbing</t>
  </si>
  <si>
    <t>C.S.I</t>
  </si>
  <si>
    <t>Flynn Roofing</t>
  </si>
  <si>
    <t>P.C.I</t>
  </si>
  <si>
    <t>PCI</t>
  </si>
  <si>
    <t xml:space="preserve">Structural Steel Erection </t>
  </si>
  <si>
    <t>Roofing</t>
  </si>
  <si>
    <t>HVAC</t>
  </si>
  <si>
    <t>Fire Protection</t>
  </si>
  <si>
    <t>Fitters/Mech</t>
  </si>
  <si>
    <t>Conducted all hand weekly meeting, participates in daily foreman logistics meeting, reviews and file sub safety narratives.</t>
  </si>
  <si>
    <t>Interior &amp; exterior caulking</t>
  </si>
  <si>
    <t>Uni-Pro</t>
  </si>
  <si>
    <t>UNI-PRO</t>
  </si>
  <si>
    <t xml:space="preserve">Coastal Erectors                </t>
  </si>
  <si>
    <t>Fred Deskin</t>
  </si>
  <si>
    <t xml:space="preserve">Rainier Concrete                 </t>
  </si>
  <si>
    <t xml:space="preserve">Coastal Erectors      </t>
  </si>
  <si>
    <r>
      <rPr>
        <sz val="9"/>
        <color theme="1"/>
        <rFont val="Calibri"/>
        <family val="2"/>
        <scheme val="minor"/>
      </rPr>
      <t>3rd party rebar, soils, concrete &amp; welding testing &amp; inspection</t>
    </r>
    <r>
      <rPr>
        <sz val="10"/>
        <color theme="1"/>
        <rFont val="Calibri"/>
        <family val="2"/>
        <scheme val="minor"/>
      </rPr>
      <t>s</t>
    </r>
  </si>
  <si>
    <r>
      <t>Framing, Gypsum, Finishes, Gordon Grid, HM door frames</t>
    </r>
    <r>
      <rPr>
        <sz val="9"/>
        <color rgb="FFFF0000"/>
        <rFont val="Calibri"/>
        <family val="2"/>
        <scheme val="minor"/>
      </rPr>
      <t xml:space="preserve"> </t>
    </r>
  </si>
  <si>
    <t>McKinstry HVAC</t>
  </si>
  <si>
    <t>McKinstry Fitter</t>
  </si>
  <si>
    <t>McKinstry Fire</t>
  </si>
  <si>
    <t>McKinstry Plumbing</t>
  </si>
  <si>
    <t>Assemble knock down ducts for transfer fan connections</t>
  </si>
  <si>
    <t>Continued Installation of  main and branch line sprinkler piping.</t>
  </si>
  <si>
    <t>No work this week</t>
  </si>
  <si>
    <t>Continued Precast wall joint caulking.</t>
  </si>
  <si>
    <t>Installing chilled water piping in east CRAH gallery</t>
  </si>
  <si>
    <t>Installing hangers &amp; pipe in core areas and CE1.</t>
  </si>
  <si>
    <t xml:space="preserve"> Contractor safety &amp; coordination, asset &amp; risk management, general conditions, QAQC overview, filled scope gaps, prep for supplemental winter heating for CE2 &amp; Core</t>
  </si>
  <si>
    <t>Set control for front canopy and loading dock.</t>
  </si>
  <si>
    <t>Worked on  MV conduits  at CE1 equipment yard &amp; Pangborn substation conduit pathway &amp; place RHO concrete, rough in at electrical rooms and AHU roof penetrations &amp; place underground conduits from PME's to USS's at CE2 yard</t>
  </si>
  <si>
    <t>Interior framing, framing at stairwell/penthouse, taping and painting at building Core critical infrastructure areas.</t>
  </si>
  <si>
    <t>Load materials and place vapor barrior CE1 roof, completed membrane around CE1 chiller platform areas</t>
  </si>
  <si>
    <t>Overhead Door</t>
  </si>
  <si>
    <t>Set O.H coiling doors at loading dock</t>
  </si>
  <si>
    <t xml:space="preserve">Over Head Door </t>
  </si>
  <si>
    <t>O.H door furnish &amp; install</t>
  </si>
  <si>
    <t>Skaug Bros Glass</t>
  </si>
  <si>
    <t>Set window frames at west pre-cast panel wall opening</t>
  </si>
  <si>
    <t>Glazing</t>
  </si>
  <si>
    <t>Finish asphalt gravel top course grade, backfill behind curbs, set 2 eco-block for equipment access into building, graded equipment yard to sub-grade, raised valve cans in roadway.</t>
  </si>
  <si>
    <t xml:space="preserve">Daily equipment checklist has a few contractor deficiencies we will address at our upcoming ALL hands weekly safety discussion. </t>
  </si>
  <si>
    <t>UPCOMING WORK: Place layer #1of 2 asphalt pavement at north, south and west roadways this year, continued roofing , framing, fire protection, electrical lighting and electrical room rough in, HVAC duct drop installation, chiller piping, prep to mobilize CRAH unit into building, branch line water piping, hangers and roof drains at Core and connection to storm line, FRP entry concrete for canopy erection, excavate for loading dock footing and stemwall, set CE1 chiller supports, place conduit and RHO concrete at CE! yard and MV pathway to Pangborn sub-station, caulking of interior precast concrete panel joint, install glazing at exterior, continue CE1 vapor barrio and membrane installation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</si>
</sst>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5" formatCode="&quot;$&quot;#,##0_);\(&quot;$&quot;#,##0\)"/>
    <numFmt numFmtId="6" formatCode="&quot;$&quot;#,##0_);[Red]\(&quot;$&quot;#,##0\)"/>
    <numFmt numFmtId="42" formatCode="_(&quot;$&quot;* #,##0_);_(&quot;$&quot;* \(#,##0\);_(&quot;$&quot;* &quot;-&quot;_);_(@_)"/>
    <numFmt numFmtId="44" formatCode="_(&quot;$&quot;* #,##0.00_);_(&quot;$&quot;* \(#,##0.00\);_(&quot;$&quot;* &quot;-&quot;??_);_(@_)"/>
    <numFmt numFmtId="164" formatCode="_(&quot;$&quot;* #,##0_);_(&quot;$&quot;* \(#,##0\);_(&quot;$&quot;* &quot;-&quot;??_);_(@_)"/>
  </numFmts>
  <fonts count="10" x14ac:knownFonts="1">
    <font>
      <sz val="11"/>
      <color theme="1"/>
      <name val="Calibri"/>
      <family val="2"/>
      <scheme val="minor"/>
    </font>
    <font>
      <b/>
      <sz val="11"/>
      <color theme="1"/>
      <name val="Calibri"/>
      <family val="2"/>
      <scheme val="minor"/>
    </font>
    <font>
      <sz val="11"/>
      <color theme="1"/>
      <name val="Calibri"/>
      <family val="2"/>
      <scheme val="minor"/>
    </font>
    <font>
      <b/>
      <sz val="18"/>
      <color theme="1"/>
      <name val="Calibri"/>
      <family val="2"/>
      <scheme val="minor"/>
    </font>
    <font>
      <sz val="11"/>
      <name val="Calibri"/>
      <family val="2"/>
      <scheme val="minor"/>
    </font>
    <font>
      <b/>
      <u/>
      <sz val="11"/>
      <color theme="1"/>
      <name val="Calibri"/>
      <family val="2"/>
      <scheme val="minor"/>
    </font>
    <font>
      <sz val="18"/>
      <color theme="1"/>
      <name val="Brush Script MT"/>
      <family val="4"/>
    </font>
    <font>
      <sz val="10"/>
      <color theme="1"/>
      <name val="Calibri"/>
      <family val="2"/>
      <scheme val="minor"/>
    </font>
    <font>
      <sz val="9"/>
      <color theme="1"/>
      <name val="Calibri"/>
      <family val="2"/>
      <scheme val="minor"/>
    </font>
    <font>
      <sz val="9"/>
      <color rgb="FFFF0000"/>
      <name val="Calibri"/>
      <family val="2"/>
      <scheme val="minor"/>
    </font>
  </fonts>
  <fills count="4">
    <fill>
      <patternFill patternType="none"/>
    </fill>
    <fill>
      <patternFill patternType="gray125"/>
    </fill>
    <fill>
      <patternFill patternType="solid">
        <fgColor theme="0"/>
        <bgColor indexed="64"/>
      </patternFill>
    </fill>
    <fill>
      <patternFill patternType="solid">
        <fgColor rgb="FF92D050"/>
        <bgColor indexed="64"/>
      </patternFill>
    </fill>
  </fills>
  <borders count="7">
    <border>
      <left/>
      <right/>
      <top/>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thin">
        <color auto="1"/>
      </right>
      <top style="thin">
        <color auto="1"/>
      </top>
      <bottom style="thin">
        <color auto="1"/>
      </bottom>
      <diagonal/>
    </border>
    <border>
      <left/>
      <right/>
      <top style="thin">
        <color auto="1"/>
      </top>
      <bottom/>
      <diagonal/>
    </border>
  </borders>
  <cellStyleXfs count="3">
    <xf numFmtId="0" fontId="0" fillId="0" borderId="0"/>
    <xf numFmtId="44" fontId="2" fillId="0" borderId="0" applyFont="0" applyFill="0" applyBorder="0" applyAlignment="0" applyProtection="0"/>
    <xf numFmtId="9" fontId="2" fillId="0" borderId="0" applyFont="0" applyFill="0" applyBorder="0" applyAlignment="0" applyProtection="0"/>
  </cellStyleXfs>
  <cellXfs count="79">
    <xf numFmtId="0" fontId="0" fillId="0" borderId="0" xfId="0"/>
    <xf numFmtId="42" fontId="0" fillId="0" borderId="0" xfId="0" applyNumberFormat="1"/>
    <xf numFmtId="0" fontId="0" fillId="2" borderId="0" xfId="0" applyFill="1"/>
    <xf numFmtId="14" fontId="0" fillId="0" borderId="1" xfId="0" applyNumberFormat="1" applyBorder="1"/>
    <xf numFmtId="0" fontId="1" fillId="0" borderId="0" xfId="0" applyFont="1"/>
    <xf numFmtId="9" fontId="2" fillId="0" borderId="0" xfId="2"/>
    <xf numFmtId="9" fontId="0" fillId="0" borderId="2" xfId="2" applyFont="1" applyBorder="1" applyAlignment="1">
      <alignment wrapText="1"/>
    </xf>
    <xf numFmtId="6" fontId="0" fillId="0" borderId="0" xfId="0" applyNumberFormat="1"/>
    <xf numFmtId="14" fontId="0" fillId="0" borderId="2" xfId="0" applyNumberFormat="1" applyBorder="1"/>
    <xf numFmtId="5" fontId="0" fillId="0" borderId="2" xfId="1" applyNumberFormat="1" applyFont="1" applyBorder="1"/>
    <xf numFmtId="6" fontId="4" fillId="0" borderId="1" xfId="1" applyNumberFormat="1" applyFont="1" applyBorder="1"/>
    <xf numFmtId="164" fontId="0" fillId="0" borderId="1" xfId="1" applyNumberFormat="1" applyFont="1" applyBorder="1"/>
    <xf numFmtId="16" fontId="1" fillId="0" borderId="5" xfId="0" applyNumberFormat="1" applyFont="1" applyBorder="1" applyAlignment="1">
      <alignment horizontal="left" vertical="top"/>
    </xf>
    <xf numFmtId="0" fontId="0" fillId="0" borderId="0" xfId="0" applyAlignment="1">
      <alignment wrapText="1"/>
    </xf>
    <xf numFmtId="9" fontId="2" fillId="0" borderId="0" xfId="2" applyAlignment="1">
      <alignment horizontal="right" wrapText="1"/>
    </xf>
    <xf numFmtId="0" fontId="6" fillId="0" borderId="0" xfId="0" applyFont="1"/>
    <xf numFmtId="0" fontId="0" fillId="0" borderId="0" xfId="0" applyAlignment="1">
      <alignment vertical="top"/>
    </xf>
    <xf numFmtId="16" fontId="1" fillId="0" borderId="5" xfId="0" applyNumberFormat="1" applyFont="1" applyBorder="1" applyAlignment="1">
      <alignment horizontal="left" vertical="top" wrapText="1"/>
    </xf>
    <xf numFmtId="0" fontId="0" fillId="0" borderId="0" xfId="0" applyAlignment="1">
      <alignment horizontal="left"/>
    </xf>
    <xf numFmtId="16" fontId="1" fillId="0" borderId="0" xfId="0" applyNumberFormat="1" applyFont="1" applyAlignment="1">
      <alignment horizontal="left" vertical="top"/>
    </xf>
    <xf numFmtId="16" fontId="1" fillId="0" borderId="5" xfId="0" applyNumberFormat="1" applyFont="1" applyBorder="1" applyAlignment="1">
      <alignment horizontal="left" vertical="center"/>
    </xf>
    <xf numFmtId="0" fontId="0" fillId="0" borderId="0" xfId="0" applyAlignment="1">
      <alignment horizontal="left" vertical="top" wrapText="1"/>
    </xf>
    <xf numFmtId="16" fontId="1" fillId="0" borderId="5" xfId="0" applyNumberFormat="1" applyFont="1" applyBorder="1" applyAlignment="1">
      <alignment horizontal="left" vertical="center" wrapText="1"/>
    </xf>
    <xf numFmtId="16" fontId="1" fillId="0" borderId="6" xfId="0" applyNumberFormat="1" applyFont="1" applyBorder="1" applyAlignment="1">
      <alignment horizontal="left" vertical="center"/>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0" fontId="0" fillId="0" borderId="4" xfId="0" applyBorder="1" applyAlignment="1">
      <alignment horizontal="center" vertical="center"/>
    </xf>
    <xf numFmtId="0" fontId="0" fillId="0" borderId="3" xfId="0" applyBorder="1" applyAlignment="1">
      <alignment horizontal="center" vertical="center"/>
    </xf>
    <xf numFmtId="16" fontId="1" fillId="0" borderId="6" xfId="0" applyNumberFormat="1" applyFont="1" applyBorder="1" applyAlignment="1">
      <alignment horizontal="left" vertical="top" wrapText="1"/>
    </xf>
    <xf numFmtId="16" fontId="1" fillId="0" borderId="0" xfId="0" applyNumberFormat="1" applyFont="1" applyAlignment="1">
      <alignment horizontal="left" vertical="top" wrapText="1"/>
    </xf>
    <xf numFmtId="0" fontId="0" fillId="0" borderId="2" xfId="0" applyBorder="1" applyAlignment="1">
      <alignment horizontal="center"/>
    </xf>
    <xf numFmtId="0" fontId="0" fillId="0" borderId="5" xfId="0" applyBorder="1" applyAlignment="1">
      <alignment horizontal="left"/>
    </xf>
    <xf numFmtId="0" fontId="0" fillId="0" borderId="5" xfId="0" applyBorder="1" applyAlignment="1">
      <alignment horizontal="center"/>
    </xf>
    <xf numFmtId="0" fontId="0" fillId="0" borderId="4" xfId="0" applyBorder="1" applyAlignment="1">
      <alignment horizontal="center"/>
    </xf>
    <xf numFmtId="0" fontId="0" fillId="0" borderId="3" xfId="0" applyBorder="1" applyAlignment="1">
      <alignment horizontal="center"/>
    </xf>
    <xf numFmtId="0" fontId="0" fillId="0" borderId="5" xfId="0" applyBorder="1" applyAlignment="1">
      <alignment horizontal="left" vertical="top"/>
    </xf>
    <xf numFmtId="0" fontId="0" fillId="0" borderId="5" xfId="0" applyBorder="1" applyAlignment="1">
      <alignment horizontal="left" vertical="top" wrapText="1"/>
    </xf>
    <xf numFmtId="0" fontId="0" fillId="0" borderId="4"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center" vertical="top"/>
    </xf>
    <xf numFmtId="0" fontId="0" fillId="0" borderId="3" xfId="0" applyBorder="1" applyAlignment="1">
      <alignment horizontal="center" vertical="top"/>
    </xf>
    <xf numFmtId="0" fontId="5" fillId="0" borderId="0" xfId="0" applyFont="1" applyAlignment="1">
      <alignment horizontal="center" vertical="top" wrapText="1"/>
    </xf>
    <xf numFmtId="0" fontId="1" fillId="0" borderId="0" xfId="0" applyFont="1" applyAlignment="1">
      <alignment horizontal="left" vertical="top" wrapText="1"/>
    </xf>
    <xf numFmtId="0" fontId="1" fillId="0" borderId="1" xfId="0" applyFont="1" applyBorder="1" applyAlignment="1">
      <alignment horizontal="left" vertical="top" wrapText="1"/>
    </xf>
    <xf numFmtId="16" fontId="1" fillId="0" borderId="6" xfId="0" applyNumberFormat="1" applyFont="1" applyBorder="1" applyAlignment="1">
      <alignment horizontal="left" vertical="top"/>
    </xf>
    <xf numFmtId="16" fontId="1" fillId="0" borderId="0" xfId="0" applyNumberFormat="1" applyFont="1" applyAlignment="1">
      <alignment horizontal="left" vertical="top"/>
    </xf>
    <xf numFmtId="0" fontId="1" fillId="0" borderId="1" xfId="0" applyFont="1" applyBorder="1" applyAlignment="1">
      <alignment horizontal="left"/>
    </xf>
    <xf numFmtId="16" fontId="1" fillId="0" borderId="0" xfId="0" applyNumberFormat="1" applyFont="1" applyAlignment="1">
      <alignment horizontal="center" vertical="top"/>
    </xf>
    <xf numFmtId="0" fontId="0" fillId="0" borderId="6" xfId="0" applyBorder="1" applyAlignment="1">
      <alignment horizontal="left" vertical="top" wrapText="1"/>
    </xf>
    <xf numFmtId="0" fontId="0" fillId="0" borderId="4" xfId="0" applyBorder="1" applyAlignment="1">
      <alignment horizontal="left" wrapText="1"/>
    </xf>
    <xf numFmtId="0" fontId="0" fillId="0" borderId="3" xfId="0" applyBorder="1" applyAlignment="1">
      <alignment horizontal="left" wrapText="1"/>
    </xf>
    <xf numFmtId="0" fontId="3" fillId="0" borderId="0" xfId="0" applyFont="1" applyAlignment="1">
      <alignment horizontal="center"/>
    </xf>
    <xf numFmtId="0" fontId="1" fillId="0" borderId="0" xfId="0" applyFont="1" applyAlignment="1">
      <alignment horizontal="center"/>
    </xf>
    <xf numFmtId="0" fontId="1" fillId="0" borderId="5" xfId="0" applyFont="1" applyBorder="1" applyAlignment="1">
      <alignment horizontal="center" vertical="center" wrapText="1"/>
    </xf>
    <xf numFmtId="0" fontId="1" fillId="0" borderId="0" xfId="0" applyFont="1"/>
    <xf numFmtId="0" fontId="0" fillId="2" borderId="4" xfId="0" applyFill="1" applyBorder="1"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0" borderId="1" xfId="0" applyBorder="1" applyAlignment="1">
      <alignment horizontal="left"/>
    </xf>
    <xf numFmtId="14" fontId="0" fillId="0" borderId="1" xfId="0" applyNumberFormat="1" applyBorder="1" applyAlignment="1">
      <alignment horizontal="left"/>
    </xf>
    <xf numFmtId="0" fontId="0" fillId="3" borderId="4" xfId="0" applyFill="1" applyBorder="1" applyAlignment="1">
      <alignment wrapText="1"/>
    </xf>
    <xf numFmtId="0" fontId="0" fillId="3" borderId="2" xfId="0" applyFill="1" applyBorder="1" applyAlignment="1">
      <alignment wrapText="1"/>
    </xf>
    <xf numFmtId="0" fontId="0" fillId="3" borderId="3" xfId="0" applyFill="1" applyBorder="1" applyAlignment="1">
      <alignment wrapText="1"/>
    </xf>
    <xf numFmtId="0" fontId="0" fillId="0" borderId="1" xfId="0" applyBorder="1" applyAlignment="1">
      <alignment horizontal="left" vertical="top" wrapText="1"/>
    </xf>
    <xf numFmtId="0" fontId="0" fillId="0" borderId="4"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left"/>
    </xf>
    <xf numFmtId="0" fontId="0" fillId="0" borderId="3" xfId="0" applyBorder="1" applyAlignment="1">
      <alignment horizontal="left"/>
    </xf>
    <xf numFmtId="0" fontId="0" fillId="0" borderId="4" xfId="0" applyBorder="1" applyAlignment="1">
      <alignment horizontal="left" vertical="center"/>
    </xf>
    <xf numFmtId="0" fontId="0" fillId="0" borderId="3" xfId="0" applyBorder="1" applyAlignment="1">
      <alignment horizontal="left" vertical="center"/>
    </xf>
    <xf numFmtId="0" fontId="8" fillId="0" borderId="4" xfId="0" applyFont="1" applyBorder="1" applyAlignment="1">
      <alignment horizontal="left" vertical="center" wrapText="1"/>
    </xf>
    <xf numFmtId="0" fontId="0" fillId="0" borderId="3" xfId="0" applyBorder="1" applyAlignment="1">
      <alignment horizontal="left" vertical="center" wrapText="1"/>
    </xf>
    <xf numFmtId="0" fontId="0" fillId="0" borderId="5" xfId="0" applyBorder="1" applyAlignment="1">
      <alignment horizontal="left" vertical="center"/>
    </xf>
    <xf numFmtId="0" fontId="7" fillId="0" borderId="5" xfId="0" applyFont="1" applyBorder="1" applyAlignment="1">
      <alignment horizontal="center" wrapText="1"/>
    </xf>
    <xf numFmtId="16" fontId="4" fillId="0" borderId="4" xfId="0" applyNumberFormat="1" applyFont="1" applyBorder="1" applyAlignment="1">
      <alignment horizontal="left" vertical="top" wrapText="1"/>
    </xf>
    <xf numFmtId="16" fontId="0" fillId="0" borderId="2" xfId="0" applyNumberFormat="1" applyBorder="1" applyAlignment="1">
      <alignment horizontal="left" vertical="top" wrapText="1"/>
    </xf>
    <xf numFmtId="16" fontId="0" fillId="0" borderId="3" xfId="0" applyNumberFormat="1" applyBorder="1" applyAlignment="1">
      <alignment horizontal="left" vertical="top" wrapText="1"/>
    </xf>
    <xf numFmtId="164" fontId="4" fillId="0" borderId="1" xfId="1" applyNumberFormat="1" applyFont="1" applyBorder="1"/>
  </cellXfs>
  <cellStyles count="3">
    <cellStyle name="Currency" xfId="1" builtinId="4"/>
    <cellStyle name="Normal" xfId="0" builtinId="0"/>
    <cellStyle name="Percent" xfId="2"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115194</xdr:rowOff>
    </xdr:from>
    <xdr:to>
      <xdr:col>0</xdr:col>
      <xdr:colOff>1449916</xdr:colOff>
      <xdr:row>2</xdr:row>
      <xdr:rowOff>132079</xdr:rowOff>
    </xdr:to>
    <xdr:pic>
      <xdr:nvPicPr>
        <xdr:cNvPr id="2" name="Picture 1">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xdr:blipFill>
      <xdr:spPr bwMode="auto">
        <a:xfrm>
          <a:off x="0" y="115194"/>
          <a:ext cx="1449916" cy="519806"/>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76"/>
  <sheetViews>
    <sheetView tabSelected="1" zoomScale="115" zoomScaleNormal="115" workbookViewId="0">
      <selection activeCell="B18" sqref="B18:G18"/>
    </sheetView>
  </sheetViews>
  <sheetFormatPr defaultRowHeight="15" x14ac:dyDescent="0.25"/>
  <cols>
    <col min="1" max="1" width="24" customWidth="1"/>
    <col min="2" max="2" width="16.7109375" customWidth="1"/>
    <col min="3" max="3" width="5.42578125" customWidth="1"/>
    <col min="5" max="5" width="15.42578125" customWidth="1"/>
    <col min="7" max="7" width="16.140625" bestFit="1" customWidth="1"/>
    <col min="10" max="10" width="11.85546875" bestFit="1" customWidth="1"/>
    <col min="11" max="11" width="10.7109375" bestFit="1" customWidth="1"/>
  </cols>
  <sheetData>
    <row r="1" spans="1:13" ht="23.25" x14ac:dyDescent="0.35">
      <c r="A1" s="52" t="s">
        <v>0</v>
      </c>
      <c r="B1" s="52"/>
      <c r="C1" s="52"/>
      <c r="D1" s="52"/>
      <c r="E1" s="52"/>
      <c r="F1" s="52"/>
      <c r="G1" s="52"/>
    </row>
    <row r="3" spans="1:13" x14ac:dyDescent="0.25">
      <c r="E3" s="53" t="s">
        <v>1</v>
      </c>
      <c r="F3" s="53"/>
      <c r="G3" s="3">
        <v>45955</v>
      </c>
      <c r="I3" s="2"/>
      <c r="J3" s="2"/>
      <c r="K3" s="2"/>
      <c r="L3" s="2"/>
      <c r="M3" s="2"/>
    </row>
    <row r="5" spans="1:13" x14ac:dyDescent="0.25">
      <c r="A5" s="4" t="s">
        <v>2</v>
      </c>
      <c r="B5" s="59" t="s">
        <v>40</v>
      </c>
      <c r="C5" s="59"/>
      <c r="D5" s="59"/>
      <c r="E5" s="59"/>
      <c r="F5" s="59"/>
      <c r="G5" s="59"/>
    </row>
    <row r="6" spans="1:13" x14ac:dyDescent="0.25">
      <c r="A6" s="55"/>
      <c r="B6" s="55"/>
      <c r="C6" s="55"/>
      <c r="D6" s="55"/>
      <c r="E6" s="55"/>
      <c r="F6" s="55"/>
      <c r="G6" s="55"/>
    </row>
    <row r="7" spans="1:13" x14ac:dyDescent="0.25">
      <c r="A7" s="4" t="s">
        <v>3</v>
      </c>
      <c r="B7" s="60" t="s">
        <v>41</v>
      </c>
      <c r="C7" s="59"/>
      <c r="D7" s="59"/>
      <c r="E7" s="59"/>
      <c r="F7" s="59"/>
      <c r="G7" s="59"/>
    </row>
    <row r="8" spans="1:13" x14ac:dyDescent="0.25">
      <c r="A8" s="55"/>
      <c r="B8" s="55"/>
      <c r="C8" s="55"/>
      <c r="D8" s="55"/>
      <c r="E8" s="55"/>
      <c r="F8" s="55"/>
      <c r="G8" s="55"/>
    </row>
    <row r="9" spans="1:13" x14ac:dyDescent="0.25">
      <c r="A9" s="4" t="s">
        <v>26</v>
      </c>
      <c r="B9" s="59" t="s">
        <v>45</v>
      </c>
      <c r="C9" s="59"/>
      <c r="D9" s="59"/>
      <c r="E9" s="59"/>
      <c r="F9" s="59"/>
      <c r="G9" s="59"/>
    </row>
    <row r="10" spans="1:13" x14ac:dyDescent="0.25">
      <c r="A10" s="55"/>
      <c r="B10" s="55"/>
      <c r="C10" s="55"/>
      <c r="D10" s="55"/>
      <c r="E10" s="55"/>
      <c r="F10" s="55"/>
      <c r="G10" s="55"/>
      <c r="I10">
        <v>4</v>
      </c>
    </row>
    <row r="11" spans="1:13" x14ac:dyDescent="0.25">
      <c r="A11" s="4" t="s">
        <v>43</v>
      </c>
      <c r="B11" s="64" t="s">
        <v>35</v>
      </c>
      <c r="C11" s="64"/>
      <c r="D11" s="64"/>
      <c r="E11" s="64"/>
      <c r="F11" s="64"/>
      <c r="G11" s="64"/>
    </row>
    <row r="12" spans="1:13" x14ac:dyDescent="0.25">
      <c r="B12" s="64"/>
      <c r="C12" s="64"/>
      <c r="D12" s="64"/>
      <c r="E12" s="64"/>
      <c r="F12" s="64"/>
      <c r="G12" s="64"/>
    </row>
    <row r="13" spans="1:13" x14ac:dyDescent="0.25">
      <c r="A13" s="4" t="s">
        <v>4</v>
      </c>
      <c r="B13" s="3">
        <v>45698</v>
      </c>
      <c r="C13" s="4"/>
      <c r="D13" s="4" t="s">
        <v>15</v>
      </c>
      <c r="E13" s="4" t="s">
        <v>12</v>
      </c>
      <c r="F13" s="4"/>
      <c r="G13" s="11">
        <v>145037759</v>
      </c>
      <c r="H13" t="s">
        <v>12</v>
      </c>
      <c r="I13" s="1" t="s">
        <v>12</v>
      </c>
      <c r="J13" s="7"/>
      <c r="K13" s="1"/>
    </row>
    <row r="14" spans="1:13" x14ac:dyDescent="0.25">
      <c r="A14" s="4" t="s">
        <v>5</v>
      </c>
      <c r="B14" s="8">
        <v>46327</v>
      </c>
      <c r="C14" s="4"/>
      <c r="D14" s="4" t="s">
        <v>7</v>
      </c>
      <c r="E14" s="4"/>
      <c r="F14" s="4"/>
      <c r="G14" s="9">
        <v>0</v>
      </c>
    </row>
    <row r="15" spans="1:13" x14ac:dyDescent="0.25">
      <c r="A15" s="4" t="s">
        <v>6</v>
      </c>
      <c r="B15" s="6">
        <v>0.42</v>
      </c>
      <c r="C15" s="4"/>
      <c r="D15" s="4" t="s">
        <v>18</v>
      </c>
      <c r="E15" s="4"/>
      <c r="F15" s="4"/>
      <c r="G15" s="11">
        <f>SUM(G13:G14)</f>
        <v>145037759</v>
      </c>
      <c r="H15" s="13"/>
      <c r="J15" t="s">
        <v>12</v>
      </c>
    </row>
    <row r="16" spans="1:13" x14ac:dyDescent="0.25">
      <c r="A16" s="4" t="s">
        <v>42</v>
      </c>
      <c r="B16" s="14" t="s">
        <v>39</v>
      </c>
      <c r="C16" s="4"/>
      <c r="D16" s="4" t="s">
        <v>8</v>
      </c>
      <c r="E16" s="4"/>
      <c r="F16" s="4"/>
      <c r="G16" s="10">
        <v>144398226</v>
      </c>
      <c r="I16" t="s">
        <v>12</v>
      </c>
    </row>
    <row r="17" spans="1:7" x14ac:dyDescent="0.25">
      <c r="A17" s="4"/>
      <c r="B17" s="5"/>
      <c r="C17" s="4"/>
      <c r="D17" s="4" t="s">
        <v>17</v>
      </c>
      <c r="E17" s="4"/>
      <c r="F17" s="4"/>
      <c r="G17" s="78">
        <f>G15-G16</f>
        <v>639533</v>
      </c>
    </row>
    <row r="18" spans="1:7" ht="18" customHeight="1" x14ac:dyDescent="0.25">
      <c r="A18" s="4" t="s">
        <v>9</v>
      </c>
      <c r="B18" s="61" t="s">
        <v>38</v>
      </c>
      <c r="C18" s="62"/>
      <c r="D18" s="62"/>
      <c r="E18" s="62"/>
      <c r="F18" s="62"/>
      <c r="G18" s="63"/>
    </row>
    <row r="19" spans="1:7" s="2" customFormat="1" x14ac:dyDescent="0.25">
      <c r="B19" s="56"/>
      <c r="C19" s="57"/>
      <c r="D19" s="57"/>
      <c r="E19" s="57"/>
      <c r="F19" s="57"/>
      <c r="G19" s="58"/>
    </row>
    <row r="20" spans="1:7" x14ac:dyDescent="0.25">
      <c r="A20" s="4"/>
    </row>
    <row r="21" spans="1:7" ht="15" customHeight="1" x14ac:dyDescent="0.25">
      <c r="A21" s="4" t="s">
        <v>44</v>
      </c>
      <c r="B21" s="54" t="s">
        <v>11</v>
      </c>
      <c r="C21" s="54"/>
      <c r="D21" s="54" t="s">
        <v>13</v>
      </c>
      <c r="E21" s="54"/>
      <c r="F21" s="54" t="s">
        <v>16</v>
      </c>
      <c r="G21" s="54"/>
    </row>
    <row r="22" spans="1:7" x14ac:dyDescent="0.25">
      <c r="B22" s="54"/>
      <c r="C22" s="54"/>
      <c r="D22" s="54"/>
      <c r="E22" s="54"/>
      <c r="F22" s="54"/>
      <c r="G22" s="54"/>
    </row>
    <row r="23" spans="1:7" x14ac:dyDescent="0.25">
      <c r="B23" s="32" t="s">
        <v>14</v>
      </c>
      <c r="C23" s="32"/>
      <c r="D23" s="33" t="s">
        <v>19</v>
      </c>
      <c r="E23" s="33"/>
      <c r="F23" s="33">
        <v>4</v>
      </c>
      <c r="G23" s="33"/>
    </row>
    <row r="24" spans="1:7" x14ac:dyDescent="0.25">
      <c r="B24" s="32" t="s">
        <v>23</v>
      </c>
      <c r="C24" s="32"/>
      <c r="D24" s="33" t="s">
        <v>24</v>
      </c>
      <c r="E24" s="33"/>
      <c r="F24" s="33">
        <v>7</v>
      </c>
      <c r="G24" s="33"/>
    </row>
    <row r="25" spans="1:7" x14ac:dyDescent="0.25">
      <c r="B25" s="32" t="s">
        <v>34</v>
      </c>
      <c r="C25" s="32"/>
      <c r="D25" s="33" t="s">
        <v>27</v>
      </c>
      <c r="E25" s="33"/>
      <c r="F25" s="33">
        <v>1</v>
      </c>
      <c r="G25" s="33"/>
    </row>
    <row r="26" spans="1:7" x14ac:dyDescent="0.25">
      <c r="B26" s="32" t="s">
        <v>30</v>
      </c>
      <c r="C26" s="32"/>
      <c r="D26" s="33" t="s">
        <v>31</v>
      </c>
      <c r="E26" s="33"/>
      <c r="F26" s="33">
        <v>22</v>
      </c>
      <c r="G26" s="33"/>
    </row>
    <row r="27" spans="1:7" x14ac:dyDescent="0.25">
      <c r="B27" s="50" t="s">
        <v>37</v>
      </c>
      <c r="C27" s="51"/>
      <c r="D27" s="33" t="s">
        <v>36</v>
      </c>
      <c r="E27" s="33"/>
      <c r="F27" s="33">
        <v>0</v>
      </c>
      <c r="G27" s="33"/>
    </row>
    <row r="28" spans="1:7" ht="27.75" customHeight="1" x14ac:dyDescent="0.25">
      <c r="B28" s="73" t="s">
        <v>46</v>
      </c>
      <c r="C28" s="73"/>
      <c r="D28" s="74" t="s">
        <v>66</v>
      </c>
      <c r="E28" s="74"/>
      <c r="F28" s="33">
        <v>0</v>
      </c>
      <c r="G28" s="33"/>
    </row>
    <row r="29" spans="1:7" ht="28.5" customHeight="1" x14ac:dyDescent="0.25">
      <c r="B29" s="69" t="s">
        <v>51</v>
      </c>
      <c r="C29" s="70"/>
      <c r="D29" s="71" t="s">
        <v>67</v>
      </c>
      <c r="E29" s="72"/>
      <c r="F29" s="34">
        <v>18</v>
      </c>
      <c r="G29" s="35"/>
    </row>
    <row r="30" spans="1:7" ht="15" customHeight="1" x14ac:dyDescent="0.25">
      <c r="B30" s="69" t="s">
        <v>50</v>
      </c>
      <c r="C30" s="70"/>
      <c r="D30" s="65" t="s">
        <v>54</v>
      </c>
      <c r="E30" s="66"/>
      <c r="F30" s="27">
        <v>15</v>
      </c>
      <c r="G30" s="28"/>
    </row>
    <row r="31" spans="1:7" ht="15" customHeight="1" x14ac:dyDescent="0.25">
      <c r="B31" s="38" t="s">
        <v>87</v>
      </c>
      <c r="C31" s="39"/>
      <c r="D31" s="65" t="s">
        <v>89</v>
      </c>
      <c r="E31" s="66"/>
      <c r="F31" s="40">
        <v>3</v>
      </c>
      <c r="G31" s="41"/>
    </row>
    <row r="32" spans="1:7" x14ac:dyDescent="0.25">
      <c r="B32" s="32" t="s">
        <v>47</v>
      </c>
      <c r="C32" s="32"/>
      <c r="D32" s="40" t="s">
        <v>55</v>
      </c>
      <c r="E32" s="41"/>
      <c r="F32" s="34">
        <v>4</v>
      </c>
      <c r="G32" s="35"/>
    </row>
    <row r="33" spans="1:7" x14ac:dyDescent="0.25">
      <c r="B33" s="38" t="s">
        <v>47</v>
      </c>
      <c r="C33" s="39"/>
      <c r="D33" s="40" t="s">
        <v>57</v>
      </c>
      <c r="E33" s="41"/>
      <c r="F33" s="34">
        <v>3</v>
      </c>
      <c r="G33" s="35"/>
    </row>
    <row r="34" spans="1:7" x14ac:dyDescent="0.25">
      <c r="B34" s="38" t="s">
        <v>47</v>
      </c>
      <c r="C34" s="39"/>
      <c r="D34" s="40" t="s">
        <v>56</v>
      </c>
      <c r="E34" s="41"/>
      <c r="F34" s="34">
        <v>5</v>
      </c>
      <c r="G34" s="35"/>
    </row>
    <row r="35" spans="1:7" x14ac:dyDescent="0.25">
      <c r="B35" s="67" t="s">
        <v>47</v>
      </c>
      <c r="C35" s="68"/>
      <c r="D35" s="33" t="s">
        <v>48</v>
      </c>
      <c r="E35" s="33"/>
      <c r="F35" s="33">
        <v>2</v>
      </c>
      <c r="G35" s="33"/>
    </row>
    <row r="36" spans="1:7" ht="14.25" customHeight="1" x14ac:dyDescent="0.25">
      <c r="B36" s="25" t="s">
        <v>62</v>
      </c>
      <c r="C36" s="26"/>
      <c r="D36" s="65" t="s">
        <v>53</v>
      </c>
      <c r="E36" s="66"/>
      <c r="F36" s="27">
        <v>0</v>
      </c>
      <c r="G36" s="28"/>
    </row>
    <row r="37" spans="1:7" ht="15.75" customHeight="1" x14ac:dyDescent="0.25">
      <c r="B37" s="25" t="s">
        <v>60</v>
      </c>
      <c r="C37" s="26"/>
      <c r="D37" s="25" t="s">
        <v>59</v>
      </c>
      <c r="E37" s="26"/>
      <c r="F37" s="27">
        <v>2</v>
      </c>
      <c r="G37" s="28"/>
    </row>
    <row r="38" spans="1:7" ht="15.75" customHeight="1" x14ac:dyDescent="0.25">
      <c r="B38" s="25" t="s">
        <v>85</v>
      </c>
      <c r="C38" s="26"/>
      <c r="D38" s="25" t="s">
        <v>86</v>
      </c>
      <c r="E38" s="26"/>
      <c r="F38" s="27">
        <v>3</v>
      </c>
      <c r="G38" s="28"/>
    </row>
    <row r="39" spans="1:7" x14ac:dyDescent="0.25">
      <c r="B39" s="32" t="s">
        <v>28</v>
      </c>
      <c r="C39" s="32"/>
      <c r="D39" s="33" t="s">
        <v>29</v>
      </c>
      <c r="E39" s="33"/>
      <c r="F39" s="33">
        <v>1</v>
      </c>
      <c r="G39" s="33"/>
    </row>
    <row r="40" spans="1:7" x14ac:dyDescent="0.25">
      <c r="B40" s="34" t="s">
        <v>25</v>
      </c>
      <c r="C40" s="31"/>
      <c r="D40" s="31"/>
      <c r="E40" s="35"/>
      <c r="F40" s="33">
        <v>90</v>
      </c>
      <c r="G40" s="33"/>
    </row>
    <row r="41" spans="1:7" ht="18" customHeight="1" x14ac:dyDescent="0.25">
      <c r="A41" s="4" t="s">
        <v>10</v>
      </c>
      <c r="B41" s="31"/>
      <c r="C41" s="31"/>
      <c r="D41" s="31"/>
      <c r="E41" s="31"/>
      <c r="F41" s="31"/>
      <c r="G41" s="31"/>
    </row>
    <row r="42" spans="1:7" ht="47.25" customHeight="1" x14ac:dyDescent="0.25">
      <c r="A42" s="20" t="s">
        <v>20</v>
      </c>
      <c r="B42" s="37" t="s">
        <v>78</v>
      </c>
      <c r="C42" s="37"/>
      <c r="D42" s="37"/>
      <c r="E42" s="37"/>
      <c r="F42" s="37"/>
      <c r="G42" s="37"/>
    </row>
    <row r="43" spans="1:7" ht="48" customHeight="1" x14ac:dyDescent="0.25">
      <c r="A43" s="20" t="s">
        <v>23</v>
      </c>
      <c r="B43" s="37" t="s">
        <v>90</v>
      </c>
      <c r="C43" s="37"/>
      <c r="D43" s="37"/>
      <c r="E43" s="37"/>
      <c r="F43" s="37"/>
      <c r="G43" s="37"/>
    </row>
    <row r="44" spans="1:7" ht="14.25" customHeight="1" x14ac:dyDescent="0.25">
      <c r="A44" s="22" t="s">
        <v>32</v>
      </c>
      <c r="B44" s="37" t="s">
        <v>79</v>
      </c>
      <c r="C44" s="37"/>
      <c r="D44" s="37"/>
      <c r="E44" s="37"/>
      <c r="F44" s="37"/>
      <c r="G44" s="37"/>
    </row>
    <row r="45" spans="1:7" ht="48" customHeight="1" x14ac:dyDescent="0.25">
      <c r="A45" s="20" t="s">
        <v>30</v>
      </c>
      <c r="B45" s="25" t="s">
        <v>80</v>
      </c>
      <c r="C45" s="24"/>
      <c r="D45" s="24"/>
      <c r="E45" s="24"/>
      <c r="F45" s="24"/>
      <c r="G45" s="26"/>
    </row>
    <row r="46" spans="1:7" ht="15.6" customHeight="1" x14ac:dyDescent="0.25">
      <c r="A46" s="22" t="s">
        <v>64</v>
      </c>
      <c r="B46" s="37" t="s">
        <v>74</v>
      </c>
      <c r="C46" s="37"/>
      <c r="D46" s="37"/>
      <c r="E46" s="37"/>
      <c r="F46" s="37"/>
      <c r="G46" s="37"/>
    </row>
    <row r="47" spans="1:7" ht="18" hidden="1" customHeight="1" x14ac:dyDescent="0.25">
      <c r="A47" s="12"/>
      <c r="B47" s="37"/>
      <c r="C47" s="37"/>
      <c r="D47" s="37"/>
      <c r="E47" s="37"/>
      <c r="F47" s="37"/>
      <c r="G47" s="37"/>
    </row>
    <row r="48" spans="1:7" ht="18" hidden="1" customHeight="1" x14ac:dyDescent="0.25">
      <c r="A48" s="12"/>
      <c r="B48" s="36"/>
      <c r="C48" s="36"/>
      <c r="D48" s="36"/>
      <c r="E48" s="36"/>
      <c r="F48" s="36"/>
      <c r="G48" s="36"/>
    </row>
    <row r="49" spans="1:7" ht="18" hidden="1" customHeight="1" x14ac:dyDescent="0.25">
      <c r="A49" s="12"/>
      <c r="B49" s="36"/>
      <c r="C49" s="36"/>
      <c r="D49" s="36"/>
      <c r="E49" s="36"/>
      <c r="F49" s="36"/>
      <c r="G49" s="36"/>
    </row>
    <row r="50" spans="1:7" ht="18" hidden="1" customHeight="1" x14ac:dyDescent="0.25">
      <c r="A50" s="12"/>
      <c r="B50" s="36"/>
      <c r="C50" s="36"/>
      <c r="D50" s="36"/>
      <c r="E50" s="36"/>
      <c r="F50" s="36"/>
      <c r="G50" s="36"/>
    </row>
    <row r="51" spans="1:7" ht="19.5" hidden="1" customHeight="1" x14ac:dyDescent="0.25">
      <c r="A51" s="12"/>
      <c r="B51" s="36"/>
      <c r="C51" s="36"/>
      <c r="D51" s="36"/>
      <c r="E51" s="36"/>
      <c r="F51" s="36"/>
      <c r="G51" s="36"/>
    </row>
    <row r="52" spans="1:7" ht="6.75" hidden="1" customHeight="1" x14ac:dyDescent="0.25">
      <c r="A52" s="12"/>
      <c r="B52" s="36"/>
      <c r="C52" s="36"/>
      <c r="D52" s="36"/>
      <c r="E52" s="36"/>
      <c r="F52" s="36"/>
      <c r="G52" s="36"/>
    </row>
    <row r="53" spans="1:7" s="16" customFormat="1" ht="15.75" customHeight="1" x14ac:dyDescent="0.25">
      <c r="A53" s="12" t="s">
        <v>49</v>
      </c>
      <c r="B53" s="25" t="s">
        <v>74</v>
      </c>
      <c r="C53" s="24"/>
      <c r="D53" s="24"/>
      <c r="E53" s="24"/>
      <c r="F53" s="24"/>
      <c r="G53" s="26"/>
    </row>
    <row r="54" spans="1:7" ht="32.25" customHeight="1" x14ac:dyDescent="0.25">
      <c r="A54" s="12" t="s">
        <v>52</v>
      </c>
      <c r="B54" s="25" t="s">
        <v>81</v>
      </c>
      <c r="C54" s="24"/>
      <c r="D54" s="24"/>
      <c r="E54" s="24"/>
      <c r="F54" s="24"/>
      <c r="G54" s="26"/>
    </row>
    <row r="55" spans="1:7" s="13" customFormat="1" ht="30" customHeight="1" x14ac:dyDescent="0.25">
      <c r="A55" s="17" t="s">
        <v>50</v>
      </c>
      <c r="B55" s="25" t="s">
        <v>82</v>
      </c>
      <c r="C55" s="24"/>
      <c r="D55" s="24"/>
      <c r="E55" s="24"/>
      <c r="F55" s="24"/>
      <c r="G55" s="26"/>
    </row>
    <row r="56" spans="1:7" ht="18" customHeight="1" x14ac:dyDescent="0.25">
      <c r="A56" s="17" t="s">
        <v>65</v>
      </c>
      <c r="B56" s="25" t="s">
        <v>74</v>
      </c>
      <c r="C56" s="24"/>
      <c r="D56" s="24"/>
      <c r="E56" s="24"/>
      <c r="F56" s="24"/>
      <c r="G56" s="26"/>
    </row>
    <row r="57" spans="1:7" ht="18" customHeight="1" x14ac:dyDescent="0.25">
      <c r="A57" s="17" t="s">
        <v>87</v>
      </c>
      <c r="B57" s="25" t="s">
        <v>88</v>
      </c>
      <c r="C57" s="24"/>
      <c r="D57" s="24"/>
      <c r="E57" s="24"/>
      <c r="F57" s="24"/>
      <c r="G57" s="26"/>
    </row>
    <row r="58" spans="1:7" ht="18" customHeight="1" x14ac:dyDescent="0.25">
      <c r="A58" s="20" t="s">
        <v>68</v>
      </c>
      <c r="B58" s="25" t="s">
        <v>72</v>
      </c>
      <c r="C58" s="24"/>
      <c r="D58" s="24"/>
      <c r="E58" s="24"/>
      <c r="F58" s="24"/>
      <c r="G58" s="26"/>
    </row>
    <row r="59" spans="1:7" ht="18" customHeight="1" x14ac:dyDescent="0.25">
      <c r="A59" s="20" t="s">
        <v>69</v>
      </c>
      <c r="B59" s="25" t="s">
        <v>76</v>
      </c>
      <c r="C59" s="24"/>
      <c r="D59" s="24"/>
      <c r="E59" s="24"/>
      <c r="F59" s="24"/>
      <c r="G59" s="26"/>
    </row>
    <row r="60" spans="1:7" ht="18" customHeight="1" x14ac:dyDescent="0.25">
      <c r="A60" s="20" t="s">
        <v>70</v>
      </c>
      <c r="B60" s="25" t="s">
        <v>73</v>
      </c>
      <c r="C60" s="24"/>
      <c r="D60" s="24"/>
      <c r="E60" s="24"/>
      <c r="F60" s="24"/>
      <c r="G60" s="26"/>
    </row>
    <row r="61" spans="1:7" ht="18" customHeight="1" x14ac:dyDescent="0.25">
      <c r="A61" s="20" t="s">
        <v>71</v>
      </c>
      <c r="B61" s="37" t="s">
        <v>77</v>
      </c>
      <c r="C61" s="37"/>
      <c r="D61" s="37"/>
      <c r="E61" s="37"/>
      <c r="F61" s="37"/>
      <c r="G61" s="37"/>
    </row>
    <row r="62" spans="1:7" ht="17.25" customHeight="1" x14ac:dyDescent="0.25">
      <c r="A62" s="23" t="s">
        <v>61</v>
      </c>
      <c r="B62" s="24" t="s">
        <v>75</v>
      </c>
      <c r="C62" s="24"/>
      <c r="D62" s="24"/>
      <c r="E62" s="24"/>
      <c r="F62" s="24"/>
      <c r="G62" s="24"/>
    </row>
    <row r="63" spans="1:7" ht="17.25" customHeight="1" x14ac:dyDescent="0.25">
      <c r="A63" s="23" t="s">
        <v>83</v>
      </c>
      <c r="B63" s="24" t="s">
        <v>84</v>
      </c>
      <c r="C63" s="24"/>
      <c r="D63" s="24"/>
      <c r="E63" s="24"/>
      <c r="F63" s="24"/>
      <c r="G63" s="24"/>
    </row>
    <row r="64" spans="1:7" ht="31.5" customHeight="1" x14ac:dyDescent="0.25">
      <c r="A64" s="45" t="s">
        <v>33</v>
      </c>
      <c r="B64" s="49" t="s">
        <v>58</v>
      </c>
      <c r="C64" s="49"/>
      <c r="D64" s="49"/>
      <c r="E64" s="49"/>
      <c r="F64" s="49"/>
      <c r="G64" s="49"/>
    </row>
    <row r="65" spans="1:7" ht="23.25" hidden="1" customHeight="1" x14ac:dyDescent="0.25">
      <c r="A65" s="46"/>
      <c r="B65" s="21"/>
      <c r="C65" s="21"/>
      <c r="D65" s="21"/>
      <c r="E65" s="21"/>
      <c r="F65" s="21"/>
      <c r="G65" s="21"/>
    </row>
    <row r="66" spans="1:7" ht="27.75" hidden="1" customHeight="1" x14ac:dyDescent="0.25">
      <c r="A66" s="46"/>
      <c r="B66" s="16"/>
      <c r="C66" s="16"/>
      <c r="D66" s="16"/>
      <c r="E66" s="16"/>
      <c r="F66" s="16"/>
      <c r="G66" s="16"/>
    </row>
    <row r="67" spans="1:7" ht="32.25" hidden="1" customHeight="1" x14ac:dyDescent="0.25">
      <c r="A67" s="19"/>
      <c r="B67" s="16"/>
      <c r="C67" s="16"/>
      <c r="D67" s="16"/>
      <c r="E67" s="16"/>
      <c r="F67" s="16"/>
      <c r="G67" s="16"/>
    </row>
    <row r="68" spans="1:7" ht="18" customHeight="1" x14ac:dyDescent="0.25">
      <c r="A68" s="48"/>
      <c r="B68" s="48"/>
      <c r="C68" s="48"/>
      <c r="D68" s="48"/>
      <c r="E68" s="48"/>
      <c r="F68" s="48"/>
      <c r="G68" s="48"/>
    </row>
    <row r="69" spans="1:7" ht="17.25" customHeight="1" x14ac:dyDescent="0.25">
      <c r="A69" s="47" t="s">
        <v>21</v>
      </c>
      <c r="B69" s="47"/>
      <c r="C69" s="47"/>
      <c r="D69" s="47"/>
      <c r="E69" s="47"/>
      <c r="F69" s="47"/>
      <c r="G69" s="47"/>
    </row>
    <row r="70" spans="1:7" s="18" customFormat="1" ht="33.75" customHeight="1" x14ac:dyDescent="0.25">
      <c r="A70" s="29" t="s">
        <v>91</v>
      </c>
      <c r="B70" s="29"/>
      <c r="C70" s="29"/>
      <c r="D70" s="29"/>
      <c r="E70" s="29"/>
      <c r="F70" s="29"/>
      <c r="G70" s="29"/>
    </row>
    <row r="71" spans="1:7" s="18" customFormat="1" ht="27" customHeight="1" x14ac:dyDescent="0.25">
      <c r="A71" s="30"/>
      <c r="B71" s="30"/>
      <c r="C71" s="30"/>
      <c r="D71" s="30"/>
      <c r="E71" s="30"/>
      <c r="F71" s="30"/>
      <c r="G71" s="30"/>
    </row>
    <row r="72" spans="1:7" ht="33.75" customHeight="1" x14ac:dyDescent="0.25">
      <c r="A72" s="43" t="s">
        <v>92</v>
      </c>
      <c r="B72" s="43"/>
      <c r="C72" s="43"/>
      <c r="D72" s="43"/>
      <c r="E72" s="43"/>
      <c r="F72" s="43"/>
      <c r="G72" s="43"/>
    </row>
    <row r="73" spans="1:7" ht="80.25" customHeight="1" x14ac:dyDescent="0.25">
      <c r="A73" s="44"/>
      <c r="B73" s="44"/>
      <c r="C73" s="44"/>
      <c r="D73" s="44"/>
      <c r="E73" s="44"/>
      <c r="F73" s="44"/>
      <c r="G73" s="44"/>
    </row>
    <row r="74" spans="1:7" ht="18" customHeight="1" x14ac:dyDescent="0.25">
      <c r="A74" s="29" t="s">
        <v>22</v>
      </c>
      <c r="B74" s="29"/>
      <c r="C74" s="29"/>
      <c r="D74" s="29"/>
      <c r="E74" s="29"/>
      <c r="F74" s="29"/>
      <c r="G74" s="29"/>
    </row>
    <row r="75" spans="1:7" ht="26.25" customHeight="1" x14ac:dyDescent="0.45">
      <c r="A75" s="15" t="s">
        <v>63</v>
      </c>
      <c r="B75" s="42"/>
      <c r="C75" s="42"/>
      <c r="D75" s="42"/>
      <c r="E75" s="42"/>
      <c r="F75" s="42"/>
      <c r="G75" s="42"/>
    </row>
    <row r="76" spans="1:7" ht="24.75" x14ac:dyDescent="0.45">
      <c r="A76" s="15"/>
      <c r="B76" s="42"/>
      <c r="C76" s="42"/>
      <c r="D76" s="42"/>
      <c r="E76" s="42"/>
      <c r="F76" s="42"/>
      <c r="G76" s="42"/>
    </row>
  </sheetData>
  <mergeCells count="98">
    <mergeCell ref="F32:G32"/>
    <mergeCell ref="B29:C29"/>
    <mergeCell ref="D29:E29"/>
    <mergeCell ref="F29:G29"/>
    <mergeCell ref="B28:C28"/>
    <mergeCell ref="D28:E28"/>
    <mergeCell ref="F28:G28"/>
    <mergeCell ref="F30:G30"/>
    <mergeCell ref="B30:C30"/>
    <mergeCell ref="D30:E30"/>
    <mergeCell ref="D32:E32"/>
    <mergeCell ref="B31:C31"/>
    <mergeCell ref="D31:E31"/>
    <mergeCell ref="F31:G31"/>
    <mergeCell ref="F33:G33"/>
    <mergeCell ref="B39:C39"/>
    <mergeCell ref="D39:E39"/>
    <mergeCell ref="F39:G39"/>
    <mergeCell ref="B36:C36"/>
    <mergeCell ref="D36:E36"/>
    <mergeCell ref="F36:G36"/>
    <mergeCell ref="B35:C35"/>
    <mergeCell ref="D35:E35"/>
    <mergeCell ref="B34:C34"/>
    <mergeCell ref="D34:E34"/>
    <mergeCell ref="F34:G34"/>
    <mergeCell ref="A1:G1"/>
    <mergeCell ref="E3:F3"/>
    <mergeCell ref="B21:C22"/>
    <mergeCell ref="D21:E22"/>
    <mergeCell ref="F21:G22"/>
    <mergeCell ref="A6:G6"/>
    <mergeCell ref="B19:G19"/>
    <mergeCell ref="B5:G5"/>
    <mergeCell ref="B7:G7"/>
    <mergeCell ref="B9:G9"/>
    <mergeCell ref="A8:G8"/>
    <mergeCell ref="A10:G10"/>
    <mergeCell ref="B18:G18"/>
    <mergeCell ref="B11:G12"/>
    <mergeCell ref="B23:C23"/>
    <mergeCell ref="F27:G27"/>
    <mergeCell ref="F23:G23"/>
    <mergeCell ref="F26:G26"/>
    <mergeCell ref="D23:E23"/>
    <mergeCell ref="B24:C24"/>
    <mergeCell ref="D24:E24"/>
    <mergeCell ref="F24:G24"/>
    <mergeCell ref="B25:C25"/>
    <mergeCell ref="D25:E25"/>
    <mergeCell ref="F25:G25"/>
    <mergeCell ref="B26:C26"/>
    <mergeCell ref="D26:E26"/>
    <mergeCell ref="B27:C27"/>
    <mergeCell ref="D27:E27"/>
    <mergeCell ref="B75:G76"/>
    <mergeCell ref="A72:G73"/>
    <mergeCell ref="A64:A66"/>
    <mergeCell ref="B50:G50"/>
    <mergeCell ref="B51:G51"/>
    <mergeCell ref="B52:G52"/>
    <mergeCell ref="B61:G61"/>
    <mergeCell ref="A69:G69"/>
    <mergeCell ref="A68:G68"/>
    <mergeCell ref="B53:G53"/>
    <mergeCell ref="A74:G74"/>
    <mergeCell ref="B56:G56"/>
    <mergeCell ref="B64:G64"/>
    <mergeCell ref="B55:G55"/>
    <mergeCell ref="B54:G54"/>
    <mergeCell ref="B62:G62"/>
    <mergeCell ref="A70:G71"/>
    <mergeCell ref="B41:G41"/>
    <mergeCell ref="B37:C37"/>
    <mergeCell ref="B32:C32"/>
    <mergeCell ref="B60:G60"/>
    <mergeCell ref="D37:E37"/>
    <mergeCell ref="F37:G37"/>
    <mergeCell ref="B58:G58"/>
    <mergeCell ref="B59:G59"/>
    <mergeCell ref="F40:G40"/>
    <mergeCell ref="B40:E40"/>
    <mergeCell ref="B49:G49"/>
    <mergeCell ref="B44:G44"/>
    <mergeCell ref="F35:G35"/>
    <mergeCell ref="B33:C33"/>
    <mergeCell ref="D33:E33"/>
    <mergeCell ref="B63:G63"/>
    <mergeCell ref="B38:C38"/>
    <mergeCell ref="D38:E38"/>
    <mergeCell ref="F38:G38"/>
    <mergeCell ref="B57:G57"/>
    <mergeCell ref="B48:G48"/>
    <mergeCell ref="B42:G42"/>
    <mergeCell ref="B43:G43"/>
    <mergeCell ref="B46:G46"/>
    <mergeCell ref="B47:G47"/>
    <mergeCell ref="B45:G45"/>
  </mergeCells>
  <printOptions horizontalCentered="1" gridLines="1"/>
  <pageMargins left="0.25" right="0.25" top="0.75" bottom="0.75" header="0.3" footer="0.3"/>
  <pageSetup orientation="portrait" r:id="rId1"/>
  <headerFooter differentOddEven="1"/>
  <colBreaks count="1" manualBreakCount="1">
    <brk id="10" max="1048575"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8F60A-B488-4875-A770-358887853945}">
  <dimension ref="A10:G12"/>
  <sheetViews>
    <sheetView workbookViewId="0">
      <selection activeCell="A11" sqref="A11:G11"/>
    </sheetView>
  </sheetViews>
  <sheetFormatPr defaultRowHeight="15" x14ac:dyDescent="0.25"/>
  <sheetData>
    <row r="10" spans="1:7" ht="18" customHeight="1" x14ac:dyDescent="0.25">
      <c r="A10" s="4" t="s">
        <v>10</v>
      </c>
    </row>
    <row r="11" spans="1:7" ht="324.95" customHeight="1" x14ac:dyDescent="0.25">
      <c r="A11" s="75"/>
      <c r="B11" s="76"/>
      <c r="C11" s="76"/>
      <c r="D11" s="76"/>
      <c r="E11" s="76"/>
      <c r="F11" s="76"/>
      <c r="G11" s="77"/>
    </row>
    <row r="12" spans="1:7" ht="14.25" customHeight="1" x14ac:dyDescent="0.25">
      <c r="A12" t="s">
        <v>12</v>
      </c>
    </row>
  </sheetData>
  <mergeCells count="1">
    <mergeCell ref="A11:G11"/>
  </mergeCells>
  <pageMargins left="0.7" right="0.7" top="0.75" bottom="0.75" header="0.3" footer="0.3"/>
  <pageSetup orientation="portrait" r:id="rId1"/>
</worksheet>
</file>

<file path=docMetadata/LabelInfo.xml><?xml version="1.0" encoding="utf-8"?>
<clbl:labelList xmlns:clbl="http://schemas.microsoft.com/office/2020/mipLabelMetadata">
  <clbl:label id="{80f04b11-fb1a-46a2-b1e5-bd6d5c5bb827}" enabled="0" method="" siteId="{80f04b11-fb1a-46a2-b1e5-bd6d5c5bb82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Page 1</vt:lpstr>
      <vt:lpstr>Sheet1</vt:lpstr>
      <vt:lpstr>'Page 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Hodson</dc:creator>
  <cp:lastModifiedBy>Dale Spencer</cp:lastModifiedBy>
  <cp:lastPrinted>2025-01-17T17:32:49Z</cp:lastPrinted>
  <dcterms:created xsi:type="dcterms:W3CDTF">2013-02-19T18:19:40Z</dcterms:created>
  <dcterms:modified xsi:type="dcterms:W3CDTF">2025-10-28T15:08:57Z</dcterms:modified>
</cp:coreProperties>
</file>