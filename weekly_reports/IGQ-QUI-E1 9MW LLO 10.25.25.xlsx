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FC2E0707-5B9F-4A08-98FC-3D91423F4F68}" xr6:coauthVersionLast="47" xr6:coauthVersionMax="47" xr10:uidLastSave="{00000000-0000-0000-0000-000000000000}"/>
  <bookViews>
    <workbookView xWindow="-120" yWindow="-120" windowWidth="29040" windowHeight="15720" xr2:uid="{00000000-000D-0000-FFFF-FFFF00000000}"/>
  </bookViews>
  <sheets>
    <sheet name="Page 1" sheetId="1" r:id="rId1"/>
    <sheet name="Sheet1" sheetId="2" r:id="rId2"/>
  </sheets>
  <definedNames>
    <definedName name="_xlnm.Print_Area" localSheetId="0">'Page 1'!$A$1:$G$44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 r="G17" i="1" s="1"/>
</calcChain>
</file>

<file path=xl/sharedStrings.xml><?xml version="1.0" encoding="utf-8"?>
<sst xmlns="http://schemas.openxmlformats.org/spreadsheetml/2006/main" count="126" uniqueCount="97">
  <si>
    <t>Weekly Job Status Report</t>
  </si>
  <si>
    <t>Week Ending:</t>
  </si>
  <si>
    <t>PROJECT NAME:</t>
  </si>
  <si>
    <t>PROJECT NUMBER:</t>
  </si>
  <si>
    <t>ARCHITECT:</t>
  </si>
  <si>
    <t>SABEY PROJECT STAFF</t>
  </si>
  <si>
    <t>START DATE:</t>
  </si>
  <si>
    <t>SCHEDULED COMPLETION:</t>
  </si>
  <si>
    <t>PROJECT % COMPLETE:</t>
  </si>
  <si>
    <t>APPROVED CHANGE ORDERS:</t>
  </si>
  <si>
    <t>EST. COST AT COMPLETION:</t>
  </si>
  <si>
    <t>SCHEDULE STATUS:</t>
  </si>
  <si>
    <t>WORK PERFORMED:</t>
  </si>
  <si>
    <t>Company</t>
  </si>
  <si>
    <t xml:space="preserve"> </t>
  </si>
  <si>
    <t>Craft</t>
  </si>
  <si>
    <t xml:space="preserve"> TEAM</t>
  </si>
  <si>
    <t xml:space="preserve">Sabey </t>
  </si>
  <si>
    <t>BUDGET:</t>
  </si>
  <si>
    <t>Trade Workers</t>
  </si>
  <si>
    <t>CURRENT PROJECTED (+/-)</t>
  </si>
  <si>
    <t>REVISED BUDGET</t>
  </si>
  <si>
    <t>GC</t>
  </si>
  <si>
    <t>Electrical</t>
  </si>
  <si>
    <t>Holmes Electric</t>
  </si>
  <si>
    <t xml:space="preserve">ON SCHEDULE - </t>
  </si>
  <si>
    <t>Mechanical</t>
  </si>
  <si>
    <t>Sabey</t>
  </si>
  <si>
    <t>SAFETY / NEAR MISSES:</t>
  </si>
  <si>
    <t>UPCOMING WORK:</t>
  </si>
  <si>
    <t xml:space="preserve">Prepared By: </t>
  </si>
  <si>
    <t>IGQ-QUI-E1 9MW Data Hall LLO.</t>
  </si>
  <si>
    <t>24-7-031</t>
  </si>
  <si>
    <t>Sabey Architecture, Corgan</t>
  </si>
  <si>
    <t>Connie Taylor, Max Wright, Aaron Sepanski, Kevin Bunde, Gilbert Tudesque, Lacey plumage, Tammy Gonzales.</t>
  </si>
  <si>
    <t>McKinstry</t>
  </si>
  <si>
    <t>Fire Protection</t>
  </si>
  <si>
    <t>Sheet Metal</t>
  </si>
  <si>
    <t>PCI</t>
  </si>
  <si>
    <t>Shield of Armor</t>
  </si>
  <si>
    <t>Safety</t>
  </si>
  <si>
    <t>McKinstry Fire Protection</t>
  </si>
  <si>
    <t>McKinstry Sheet Metal</t>
  </si>
  <si>
    <t>Tripoint</t>
  </si>
  <si>
    <t>Civil</t>
  </si>
  <si>
    <t>Tri-Point</t>
  </si>
  <si>
    <t>McKinstry Mechanical</t>
  </si>
  <si>
    <t>Kevin Bunde</t>
  </si>
  <si>
    <t>Carpentry</t>
  </si>
  <si>
    <t>NETA Testing</t>
  </si>
  <si>
    <t>Praetorian</t>
  </si>
  <si>
    <t>TENANT</t>
  </si>
  <si>
    <t>Microsoft</t>
  </si>
  <si>
    <t>Mechanical Cx</t>
  </si>
  <si>
    <t>McKinstry Cx</t>
  </si>
  <si>
    <t>Site safety meeting, site walks and safety audits, new hire orientations.  Manage LOTO operations.</t>
  </si>
  <si>
    <t>IEM</t>
  </si>
  <si>
    <t>IE Vendor</t>
  </si>
  <si>
    <t>NC Power</t>
  </si>
  <si>
    <t>MEPPI</t>
  </si>
  <si>
    <t>HVAC</t>
  </si>
  <si>
    <t>Zavtek</t>
  </si>
  <si>
    <t>PDU Vendor</t>
  </si>
  <si>
    <t>C&amp;C Power</t>
  </si>
  <si>
    <t>Battery Vendor</t>
  </si>
  <si>
    <t>Generator Tech</t>
  </si>
  <si>
    <t>All Valley Sheet Metal</t>
  </si>
  <si>
    <t>No work.</t>
  </si>
  <si>
    <t>ABB</t>
  </si>
  <si>
    <t>UPS Vendor</t>
  </si>
  <si>
    <t>KBA</t>
  </si>
  <si>
    <t>Cx Agent</t>
  </si>
  <si>
    <t>All Valley Sheet metal</t>
  </si>
  <si>
    <t>IE</t>
  </si>
  <si>
    <t>EDC</t>
  </si>
  <si>
    <t>Hudson Bay</t>
  </si>
  <si>
    <t>Insulator</t>
  </si>
  <si>
    <t xml:space="preserve">Hudson Bay </t>
  </si>
  <si>
    <t xml:space="preserve">DELAYS:  </t>
  </si>
  <si>
    <t>Clean Sweep</t>
  </si>
  <si>
    <t>Landscape</t>
  </si>
  <si>
    <t>Supervision, Scheduling, site services, MOP reviews, QA/QC.  Cleaning electrical yard, removing materials out of it.  Unload equipment.  Completed pressure washing the CMU wall.  Removed temp power skid protection.  Installed covers at LB penetrations in the Kingspan.  Finished up misc. wall base install and fire caulking.  Cleaned out data halls for IST.  Performed fire watch during IST in data halls A&amp;B.  Removed rental load banks and fan carts from data halls A&amp;B post IST.  Rolled up rental SO cords and prep for shipping.</t>
  </si>
  <si>
    <t>Completed TAB for the added transfer fan for the MMR.  Supported electrical Cx with cooling on the floor.  IST data halls A&amp;B.</t>
  </si>
  <si>
    <t>Caulked wall angle base in the East gallery.</t>
  </si>
  <si>
    <t>Completed trade damage touchups in data hall C and moved into data hall D.  Touched up doors and frames throughout.</t>
  </si>
  <si>
    <t xml:space="preserve">Supported Cx/IST activities.  </t>
  </si>
  <si>
    <t>Supported IST.</t>
  </si>
  <si>
    <t>Supported IST.  Worked through STS/PDU issues.</t>
  </si>
  <si>
    <t xml:space="preserve">Supported IST. </t>
  </si>
  <si>
    <t>Tested cables for the MV cutover.</t>
  </si>
  <si>
    <t>Completed landscaping South of the chiller yard.</t>
  </si>
  <si>
    <t xml:space="preserve">This weeks safety:  Hydration                   </t>
  </si>
  <si>
    <t>L4 tested EDC-F.  IST data halls A&amp;B? and LLO security.</t>
  </si>
  <si>
    <t>Installed PT cabinet for the MV cutover, tested, landed cables tying QE1 to QE2.  Installed ARC flash stickers.  Performed IR scans.  Fire caulked MMR.  Added lugs in HDP boards for future load bank provisions.  Programmed lighting controls.  Rewired horn strobes in the EDC's.  IST for QE1-A&amp;B (lineups R, A, B &amp; C).  finalized panel schedules.  Removed whips from PDU's, post IST of data halls A&amp;B.  Assisted with rolling up load banks cables.  L4 tested EDC-F.  Hooked load banks back to try burn the off gassing in the EDC's.</t>
  </si>
  <si>
    <t>Continued working UPS-F issues.  Supported Cx/IST activities.</t>
  </si>
  <si>
    <t>Punch list items.  IST of data halls C&amp;D.</t>
  </si>
  <si>
    <t xml:space="preserve">*Over-run due to: switch Zinc batteries to VRLA, CX Mgr, Safety, Security, Plumbing, Insepctions.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</si>
</sst>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b/>
      <u/>
      <sz val="11"/>
      <color theme="1"/>
      <name val="Calibri"/>
      <family val="2"/>
      <scheme val="minor"/>
    </font>
    <font>
      <sz val="8"/>
      <name val="Tahoma"/>
    </font>
    <font>
      <sz val="8"/>
      <color rgb="FFFF0000"/>
      <name val="Tahoma"/>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63">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6" fontId="0" fillId="0" borderId="0" xfId="0" applyNumberFormat="1"/>
    <xf numFmtId="14" fontId="0" fillId="0" borderId="2" xfId="0" applyNumberFormat="1" applyBorder="1"/>
    <xf numFmtId="5" fontId="0" fillId="0" borderId="1" xfId="1" applyNumberFormat="1" applyFont="1" applyBorder="1"/>
    <xf numFmtId="5" fontId="0" fillId="0" borderId="2" xfId="1" applyNumberFormat="1" applyFont="1" applyBorder="1"/>
    <xf numFmtId="6" fontId="4" fillId="0" borderId="1" xfId="1" applyNumberFormat="1" applyFont="1" applyBorder="1"/>
    <xf numFmtId="164" fontId="0" fillId="0" borderId="1" xfId="1" applyNumberFormat="1" applyFont="1" applyBorder="1"/>
    <xf numFmtId="16" fontId="1" fillId="0" borderId="5" xfId="0" applyNumberFormat="1" applyFont="1" applyBorder="1" applyAlignment="1">
      <alignment horizontal="left" vertical="top"/>
    </xf>
    <xf numFmtId="0" fontId="0" fillId="0" borderId="0" xfId="0" applyAlignment="1">
      <alignment horizontal="left" vertical="top" wrapText="1"/>
    </xf>
    <xf numFmtId="16" fontId="0" fillId="0" borderId="0" xfId="0" applyNumberFormat="1" applyAlignment="1">
      <alignment horizontal="left" vertical="top" wrapText="1"/>
    </xf>
    <xf numFmtId="14" fontId="0" fillId="0" borderId="1" xfId="0" applyNumberFormat="1" applyBorder="1" applyAlignment="1">
      <alignment horizontal="center"/>
    </xf>
    <xf numFmtId="16" fontId="1" fillId="2" borderId="5" xfId="0" applyNumberFormat="1" applyFont="1" applyFill="1" applyBorder="1" applyAlignment="1">
      <alignment horizontal="left" vertical="top"/>
    </xf>
    <xf numFmtId="9" fontId="1" fillId="2" borderId="2" xfId="2" applyFont="1" applyFill="1" applyBorder="1" applyAlignment="1">
      <alignment wrapText="1"/>
    </xf>
    <xf numFmtId="16" fontId="1" fillId="0" borderId="5" xfId="0" applyNumberFormat="1" applyFont="1" applyBorder="1" applyAlignment="1">
      <alignment vertical="top"/>
    </xf>
    <xf numFmtId="0" fontId="0" fillId="0" borderId="5" xfId="0" applyBorder="1" applyAlignment="1">
      <alignment horizontal="left"/>
    </xf>
    <xf numFmtId="0" fontId="0" fillId="0" borderId="5" xfId="0" applyBorder="1" applyAlignment="1">
      <alignment horizontal="center"/>
    </xf>
    <xf numFmtId="0" fontId="0" fillId="0" borderId="4" xfId="0" applyBorder="1" applyAlignment="1">
      <alignment horizontal="left"/>
    </xf>
    <xf numFmtId="0" fontId="0" fillId="0" borderId="3" xfId="0" applyBorder="1" applyAlignment="1">
      <alignment horizontal="left"/>
    </xf>
    <xf numFmtId="0" fontId="0" fillId="0" borderId="4" xfId="0" applyBorder="1" applyAlignment="1">
      <alignment horizontal="center"/>
    </xf>
    <xf numFmtId="0" fontId="0" fillId="0" borderId="3" xfId="0" applyBorder="1" applyAlignment="1">
      <alignment horizontal="center"/>
    </xf>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0" xfId="0" applyFont="1"/>
    <xf numFmtId="0" fontId="0" fillId="0" borderId="1" xfId="0" applyBorder="1" applyAlignment="1">
      <alignment horizontal="left"/>
    </xf>
    <xf numFmtId="14" fontId="0" fillId="0" borderId="1" xfId="0" applyNumberFormat="1" applyBorder="1" applyAlignment="1">
      <alignment horizontal="left"/>
    </xf>
    <xf numFmtId="0" fontId="0" fillId="0" borderId="1" xfId="0" applyBorder="1" applyAlignment="1">
      <alignment horizontal="left" wrapText="1"/>
    </xf>
    <xf numFmtId="0" fontId="0" fillId="3" borderId="4"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0" xfId="0"/>
    <xf numFmtId="16" fontId="0" fillId="0" borderId="4" xfId="0" applyNumberForma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16" fontId="5" fillId="0" borderId="0" xfId="0" applyNumberFormat="1" applyFont="1" applyAlignment="1">
      <alignment horizontal="left" vertical="top" wrapText="1"/>
    </xf>
    <xf numFmtId="0" fontId="5" fillId="0" borderId="0" xfId="0" applyFont="1" applyAlignment="1">
      <alignment horizontal="left" vertical="top" wrapText="1"/>
    </xf>
    <xf numFmtId="0" fontId="0" fillId="0" borderId="5" xfId="0" applyBorder="1" applyAlignment="1">
      <alignment horizontal="left" vertical="top" wrapText="1"/>
    </xf>
    <xf numFmtId="0" fontId="0" fillId="0" borderId="5" xfId="0" applyBorder="1" applyAlignment="1">
      <alignment horizontal="left" vertical="top"/>
    </xf>
    <xf numFmtId="0" fontId="0" fillId="2" borderId="5" xfId="0" applyFill="1" applyBorder="1" applyAlignment="1">
      <alignment horizontal="left"/>
    </xf>
    <xf numFmtId="0" fontId="0" fillId="2" borderId="5" xfId="0" applyFill="1" applyBorder="1" applyAlignment="1">
      <alignment wrapText="1"/>
    </xf>
    <xf numFmtId="0" fontId="0" fillId="2" borderId="5" xfId="0" applyFill="1" applyBorder="1" applyAlignment="1">
      <alignment horizontal="left" wrapText="1"/>
    </xf>
    <xf numFmtId="0" fontId="0" fillId="0" borderId="4"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1" fillId="0" borderId="6" xfId="0" applyFont="1" applyBorder="1" applyAlignment="1">
      <alignment horizontal="left"/>
    </xf>
    <xf numFmtId="0" fontId="0" fillId="0" borderId="6" xfId="0" applyBorder="1" applyAlignment="1">
      <alignment horizontal="left"/>
    </xf>
    <xf numFmtId="0" fontId="0" fillId="0" borderId="5" xfId="0" applyBorder="1" applyAlignment="1">
      <alignment horizontal="left" wrapText="1"/>
    </xf>
    <xf numFmtId="0" fontId="0" fillId="2" borderId="5" xfId="0" applyFill="1" applyBorder="1" applyAlignment="1">
      <alignment horizontal="left" vertical="top" wrapText="1"/>
    </xf>
    <xf numFmtId="0" fontId="0" fillId="0" borderId="4" xfId="0" applyBorder="1" applyAlignment="1">
      <alignment horizontal="left" vertical="top" wrapText="1"/>
    </xf>
    <xf numFmtId="0" fontId="0" fillId="2" borderId="4"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16" fontId="4" fillId="0" borderId="4" xfId="0" applyNumberFormat="1" applyFont="1" applyBorder="1" applyAlignment="1">
      <alignment horizontal="left" vertical="top" wrapText="1"/>
    </xf>
    <xf numFmtId="16" fontId="0" fillId="0" borderId="2" xfId="0" applyNumberFormat="1" applyBorder="1" applyAlignment="1">
      <alignment horizontal="left" vertical="top" wrapText="1"/>
    </xf>
    <xf numFmtId="16" fontId="0" fillId="0" borderId="3" xfId="0" applyNumberFormat="1" applyBorder="1" applyAlignment="1">
      <alignment horizontal="left" vertical="top" wrapText="1"/>
    </xf>
    <xf numFmtId="0" fontId="6" fillId="2" borderId="7" xfId="0" applyFont="1" applyFill="1" applyBorder="1" applyAlignment="1">
      <alignment horizontal="left" vertical="top"/>
    </xf>
    <xf numFmtId="0" fontId="6" fillId="2" borderId="8" xfId="0" applyFont="1" applyFill="1" applyBorder="1" applyAlignment="1">
      <alignment horizontal="left" vertical="top"/>
    </xf>
    <xf numFmtId="0" fontId="7" fillId="2" borderId="7" xfId="0" applyFont="1" applyFill="1" applyBorder="1" applyAlignment="1">
      <alignment horizontal="left" vertical="top"/>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115194</xdr:rowOff>
    </xdr:from>
    <xdr:to>
      <xdr:col>0</xdr:col>
      <xdr:colOff>1449916</xdr:colOff>
      <xdr:row>2</xdr:row>
      <xdr:rowOff>148167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115194"/>
          <a:ext cx="1449916" cy="5198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3"/>
  <sheetViews>
    <sheetView tabSelected="1" zoomScale="130" zoomScaleNormal="130" workbookViewId="0">
      <selection activeCell="N10" sqref="N10"/>
    </sheetView>
  </sheetViews>
  <sheetFormatPr defaultRowHeight="15" x14ac:dyDescent="0.25"/>
  <cols>
    <col min="1" max="1" width="24" customWidth="1"/>
    <col min="2" max="2" width="16.7109375" customWidth="1"/>
    <col min="3" max="3" width="5.42578125" customWidth="1"/>
    <col min="5" max="5" width="15.42578125" customWidth="1"/>
    <col min="7" max="7" width="34" customWidth="1"/>
    <col min="10" max="10" width="11.85546875" bestFit="1" customWidth="1"/>
    <col min="11" max="11" width="10.7109375" bestFit="1" customWidth="1"/>
  </cols>
  <sheetData>
    <row r="1" spans="1:13" ht="23.25" x14ac:dyDescent="0.35">
      <c r="A1" s="25" t="s">
        <v>0</v>
      </c>
      <c r="B1" s="25"/>
      <c r="C1" s="25"/>
      <c r="D1" s="25"/>
      <c r="E1" s="25"/>
      <c r="F1" s="25"/>
      <c r="G1" s="25"/>
    </row>
    <row r="3" spans="1:13" x14ac:dyDescent="0.25">
      <c r="E3" s="26" t="s">
        <v>1</v>
      </c>
      <c r="F3" s="26"/>
      <c r="G3" s="15">
        <v>45955</v>
      </c>
      <c r="I3" s="2"/>
      <c r="J3" s="2"/>
      <c r="K3" s="2"/>
      <c r="L3" s="2"/>
      <c r="M3" s="2"/>
    </row>
    <row r="5" spans="1:13" x14ac:dyDescent="0.25">
      <c r="A5" s="4" t="s">
        <v>2</v>
      </c>
      <c r="B5" s="29" t="s">
        <v>31</v>
      </c>
      <c r="C5" s="29"/>
      <c r="D5" s="29"/>
      <c r="E5" s="29"/>
      <c r="F5" s="29"/>
      <c r="G5" s="29"/>
    </row>
    <row r="6" spans="1:13" x14ac:dyDescent="0.25">
      <c r="A6" s="28"/>
      <c r="B6" s="28"/>
      <c r="C6" s="28"/>
      <c r="D6" s="28"/>
      <c r="E6" s="28"/>
      <c r="F6" s="28"/>
      <c r="G6" s="28"/>
    </row>
    <row r="7" spans="1:13" x14ac:dyDescent="0.25">
      <c r="A7" s="4" t="s">
        <v>3</v>
      </c>
      <c r="B7" s="30" t="s">
        <v>32</v>
      </c>
      <c r="C7" s="29"/>
      <c r="D7" s="29"/>
      <c r="E7" s="29"/>
      <c r="F7" s="29"/>
      <c r="G7" s="29"/>
    </row>
    <row r="8" spans="1:13" x14ac:dyDescent="0.25">
      <c r="A8" s="28"/>
      <c r="B8" s="28"/>
      <c r="C8" s="28"/>
      <c r="D8" s="28"/>
      <c r="E8" s="28"/>
      <c r="F8" s="28"/>
      <c r="G8" s="28"/>
    </row>
    <row r="9" spans="1:13" x14ac:dyDescent="0.25">
      <c r="A9" s="4" t="s">
        <v>4</v>
      </c>
      <c r="B9" s="29" t="s">
        <v>33</v>
      </c>
      <c r="C9" s="29"/>
      <c r="D9" s="29"/>
      <c r="E9" s="29"/>
      <c r="F9" s="29"/>
      <c r="G9" s="29"/>
    </row>
    <row r="10" spans="1:13" x14ac:dyDescent="0.25">
      <c r="A10" s="28"/>
      <c r="B10" s="28"/>
      <c r="C10" s="28"/>
      <c r="D10" s="28"/>
      <c r="E10" s="28"/>
      <c r="F10" s="28"/>
      <c r="G10" s="28"/>
    </row>
    <row r="11" spans="1:13" ht="35.1" customHeight="1" x14ac:dyDescent="0.25">
      <c r="A11" s="4" t="s">
        <v>5</v>
      </c>
      <c r="B11" s="31" t="s">
        <v>34</v>
      </c>
      <c r="C11" s="31"/>
      <c r="D11" s="31"/>
      <c r="E11" s="31"/>
      <c r="F11" s="31"/>
      <c r="G11" s="31"/>
    </row>
    <row r="12" spans="1:13" x14ac:dyDescent="0.25">
      <c r="A12" s="35"/>
      <c r="B12" s="35"/>
      <c r="C12" s="35"/>
      <c r="D12" s="35"/>
      <c r="E12" s="35"/>
      <c r="F12" s="35"/>
      <c r="G12" s="35"/>
    </row>
    <row r="13" spans="1:13" x14ac:dyDescent="0.25">
      <c r="A13" s="4" t="s">
        <v>6</v>
      </c>
      <c r="B13" s="3">
        <v>45525</v>
      </c>
      <c r="C13" s="4"/>
      <c r="D13" s="4" t="s">
        <v>18</v>
      </c>
      <c r="E13" s="4" t="s">
        <v>14</v>
      </c>
      <c r="F13" s="4"/>
      <c r="G13" s="11">
        <v>88368880</v>
      </c>
      <c r="H13" t="s">
        <v>14</v>
      </c>
      <c r="I13" s="1" t="s">
        <v>14</v>
      </c>
      <c r="J13" s="6"/>
      <c r="K13" s="1"/>
    </row>
    <row r="14" spans="1:13" x14ac:dyDescent="0.25">
      <c r="A14" s="4" t="s">
        <v>7</v>
      </c>
      <c r="B14" s="7">
        <v>45962</v>
      </c>
      <c r="C14" s="4"/>
      <c r="D14" s="4" t="s">
        <v>9</v>
      </c>
      <c r="E14" s="4"/>
      <c r="F14" s="4"/>
      <c r="G14" s="9">
        <v>0</v>
      </c>
    </row>
    <row r="15" spans="1:13" x14ac:dyDescent="0.25">
      <c r="A15" s="4" t="s">
        <v>8</v>
      </c>
      <c r="B15" s="17">
        <v>0.99</v>
      </c>
      <c r="C15" s="4"/>
      <c r="D15" s="4" t="s">
        <v>21</v>
      </c>
      <c r="E15" s="4"/>
      <c r="F15" s="4"/>
      <c r="G15" s="8">
        <f>SUM(G13:G14)</f>
        <v>88368880</v>
      </c>
      <c r="J15" t="s">
        <v>14</v>
      </c>
    </row>
    <row r="16" spans="1:13" x14ac:dyDescent="0.25">
      <c r="A16" s="4" t="s">
        <v>51</v>
      </c>
      <c r="B16" s="17" t="s">
        <v>52</v>
      </c>
      <c r="C16" s="4"/>
      <c r="D16" s="4" t="s">
        <v>10</v>
      </c>
      <c r="E16" s="4"/>
      <c r="F16" s="4"/>
      <c r="G16" s="11">
        <v>88966949</v>
      </c>
      <c r="I16" t="s">
        <v>14</v>
      </c>
    </row>
    <row r="17" spans="1:7" x14ac:dyDescent="0.25">
      <c r="A17" s="4"/>
      <c r="B17" s="5"/>
      <c r="C17" s="4"/>
      <c r="D17" s="4" t="s">
        <v>20</v>
      </c>
      <c r="E17" s="4"/>
      <c r="F17" s="4"/>
      <c r="G17" s="10">
        <f>G15-G16</f>
        <v>-598069</v>
      </c>
    </row>
    <row r="18" spans="1:7" ht="18" customHeight="1" x14ac:dyDescent="0.25">
      <c r="A18" s="4" t="s">
        <v>11</v>
      </c>
      <c r="B18" s="32" t="s">
        <v>25</v>
      </c>
      <c r="C18" s="33"/>
      <c r="D18" s="33"/>
      <c r="E18" s="33"/>
      <c r="F18" s="33"/>
      <c r="G18" s="34"/>
    </row>
    <row r="19" spans="1:7" ht="15" customHeight="1" x14ac:dyDescent="0.25">
      <c r="B19" s="62" t="s">
        <v>96</v>
      </c>
      <c r="C19" s="60"/>
      <c r="D19" s="60"/>
      <c r="E19" s="60"/>
      <c r="F19" s="60"/>
      <c r="G19" s="60"/>
    </row>
    <row r="20" spans="1:7" x14ac:dyDescent="0.25">
      <c r="A20" s="4" t="s">
        <v>16</v>
      </c>
      <c r="B20" s="61"/>
      <c r="C20" s="61"/>
      <c r="D20" s="61"/>
      <c r="E20" s="61"/>
      <c r="F20" s="61"/>
      <c r="G20" s="61"/>
    </row>
    <row r="21" spans="1:7" ht="15" customHeight="1" x14ac:dyDescent="0.25">
      <c r="B21" s="27" t="s">
        <v>13</v>
      </c>
      <c r="C21" s="27"/>
      <c r="D21" s="27" t="s">
        <v>15</v>
      </c>
      <c r="E21" s="27"/>
      <c r="F21" s="27" t="s">
        <v>19</v>
      </c>
      <c r="G21" s="27"/>
    </row>
    <row r="22" spans="1:7" x14ac:dyDescent="0.25">
      <c r="B22" s="27"/>
      <c r="C22" s="27"/>
      <c r="D22" s="27"/>
      <c r="E22" s="27"/>
      <c r="F22" s="27"/>
      <c r="G22" s="27"/>
    </row>
    <row r="23" spans="1:7" x14ac:dyDescent="0.25">
      <c r="B23" s="19" t="s">
        <v>17</v>
      </c>
      <c r="C23" s="19"/>
      <c r="D23" s="20" t="s">
        <v>22</v>
      </c>
      <c r="E23" s="20"/>
      <c r="F23" s="20">
        <v>4</v>
      </c>
      <c r="G23" s="20"/>
    </row>
    <row r="24" spans="1:7" x14ac:dyDescent="0.25">
      <c r="B24" s="19" t="s">
        <v>35</v>
      </c>
      <c r="C24" s="19"/>
      <c r="D24" s="20" t="s">
        <v>26</v>
      </c>
      <c r="E24" s="20"/>
      <c r="F24" s="20">
        <v>0</v>
      </c>
      <c r="G24" s="20"/>
    </row>
    <row r="25" spans="1:7" x14ac:dyDescent="0.25">
      <c r="B25" s="19" t="s">
        <v>35</v>
      </c>
      <c r="C25" s="19"/>
      <c r="D25" s="20" t="s">
        <v>36</v>
      </c>
      <c r="E25" s="20"/>
      <c r="F25" s="20">
        <v>0</v>
      </c>
      <c r="G25" s="20"/>
    </row>
    <row r="26" spans="1:7" x14ac:dyDescent="0.25">
      <c r="B26" s="19" t="s">
        <v>35</v>
      </c>
      <c r="C26" s="19"/>
      <c r="D26" s="20" t="s">
        <v>37</v>
      </c>
      <c r="E26" s="20"/>
      <c r="F26" s="20">
        <v>1</v>
      </c>
      <c r="G26" s="20"/>
    </row>
    <row r="27" spans="1:7" x14ac:dyDescent="0.25">
      <c r="B27" s="19" t="s">
        <v>35</v>
      </c>
      <c r="C27" s="19"/>
      <c r="D27" s="23" t="s">
        <v>53</v>
      </c>
      <c r="E27" s="24"/>
      <c r="F27" s="23">
        <v>5</v>
      </c>
      <c r="G27" s="24"/>
    </row>
    <row r="28" spans="1:7" x14ac:dyDescent="0.25">
      <c r="B28" s="19" t="s">
        <v>38</v>
      </c>
      <c r="C28" s="19"/>
      <c r="D28" s="20" t="s">
        <v>48</v>
      </c>
      <c r="E28" s="20"/>
      <c r="F28" s="20">
        <v>2</v>
      </c>
      <c r="G28" s="20"/>
    </row>
    <row r="29" spans="1:7" x14ac:dyDescent="0.25">
      <c r="B29" s="19" t="s">
        <v>24</v>
      </c>
      <c r="C29" s="19"/>
      <c r="D29" s="20" t="s">
        <v>23</v>
      </c>
      <c r="E29" s="20"/>
      <c r="F29" s="20">
        <v>13</v>
      </c>
      <c r="G29" s="20"/>
    </row>
    <row r="30" spans="1:7" ht="15" customHeight="1" x14ac:dyDescent="0.25">
      <c r="B30" s="19" t="s">
        <v>43</v>
      </c>
      <c r="C30" s="19"/>
      <c r="D30" s="20" t="s">
        <v>44</v>
      </c>
      <c r="E30" s="20"/>
      <c r="F30" s="20">
        <v>0</v>
      </c>
      <c r="G30" s="20"/>
    </row>
    <row r="31" spans="1:7" x14ac:dyDescent="0.25">
      <c r="B31" s="19" t="s">
        <v>39</v>
      </c>
      <c r="C31" s="19"/>
      <c r="D31" s="20" t="s">
        <v>40</v>
      </c>
      <c r="E31" s="20"/>
      <c r="F31" s="20">
        <v>2</v>
      </c>
      <c r="G31" s="20"/>
    </row>
    <row r="32" spans="1:7" x14ac:dyDescent="0.25">
      <c r="B32" s="19" t="s">
        <v>50</v>
      </c>
      <c r="C32" s="19"/>
      <c r="D32" s="20" t="s">
        <v>49</v>
      </c>
      <c r="E32" s="20"/>
      <c r="F32" s="20">
        <v>2</v>
      </c>
      <c r="G32" s="20"/>
    </row>
    <row r="33" spans="1:7" x14ac:dyDescent="0.25">
      <c r="B33" s="19" t="s">
        <v>58</v>
      </c>
      <c r="C33" s="19"/>
      <c r="D33" s="20" t="s">
        <v>65</v>
      </c>
      <c r="E33" s="20"/>
      <c r="F33" s="20">
        <v>2</v>
      </c>
      <c r="G33" s="20"/>
    </row>
    <row r="34" spans="1:7" x14ac:dyDescent="0.25">
      <c r="B34" s="21" t="s">
        <v>66</v>
      </c>
      <c r="C34" s="22"/>
      <c r="D34" s="23" t="s">
        <v>37</v>
      </c>
      <c r="E34" s="24"/>
      <c r="F34" s="23">
        <v>0</v>
      </c>
      <c r="G34" s="24"/>
    </row>
    <row r="35" spans="1:7" x14ac:dyDescent="0.25">
      <c r="B35" s="19" t="s">
        <v>75</v>
      </c>
      <c r="C35" s="19"/>
      <c r="D35" s="20" t="s">
        <v>76</v>
      </c>
      <c r="E35" s="20"/>
      <c r="F35" s="20">
        <v>0</v>
      </c>
      <c r="G35" s="20"/>
    </row>
    <row r="36" spans="1:7" x14ac:dyDescent="0.25">
      <c r="B36" s="19" t="s">
        <v>56</v>
      </c>
      <c r="C36" s="19"/>
      <c r="D36" s="20" t="s">
        <v>57</v>
      </c>
      <c r="E36" s="20"/>
      <c r="F36" s="20">
        <v>3</v>
      </c>
      <c r="G36" s="20"/>
    </row>
    <row r="37" spans="1:7" x14ac:dyDescent="0.25">
      <c r="B37" s="21" t="s">
        <v>73</v>
      </c>
      <c r="C37" s="22"/>
      <c r="D37" s="20" t="s">
        <v>74</v>
      </c>
      <c r="E37" s="20"/>
      <c r="F37" s="20">
        <v>1</v>
      </c>
      <c r="G37" s="20"/>
    </row>
    <row r="38" spans="1:7" x14ac:dyDescent="0.25">
      <c r="B38" s="19" t="s">
        <v>59</v>
      </c>
      <c r="C38" s="19"/>
      <c r="D38" s="20" t="s">
        <v>60</v>
      </c>
      <c r="E38" s="20"/>
      <c r="F38" s="20">
        <v>1</v>
      </c>
      <c r="G38" s="20"/>
    </row>
    <row r="39" spans="1:7" x14ac:dyDescent="0.25">
      <c r="B39" s="19" t="s">
        <v>61</v>
      </c>
      <c r="C39" s="19"/>
      <c r="D39" s="20" t="s">
        <v>62</v>
      </c>
      <c r="E39" s="20"/>
      <c r="F39" s="20">
        <v>1</v>
      </c>
      <c r="G39" s="20"/>
    </row>
    <row r="40" spans="1:7" x14ac:dyDescent="0.25">
      <c r="B40" s="19" t="s">
        <v>63</v>
      </c>
      <c r="C40" s="19"/>
      <c r="D40" s="20" t="s">
        <v>64</v>
      </c>
      <c r="E40" s="20"/>
      <c r="F40" s="20">
        <v>1</v>
      </c>
      <c r="G40" s="20"/>
    </row>
    <row r="41" spans="1:7" x14ac:dyDescent="0.25">
      <c r="B41" s="19" t="s">
        <v>68</v>
      </c>
      <c r="C41" s="19"/>
      <c r="D41" s="20" t="s">
        <v>69</v>
      </c>
      <c r="E41" s="20"/>
      <c r="F41" s="20">
        <v>1</v>
      </c>
      <c r="G41" s="20"/>
    </row>
    <row r="42" spans="1:7" x14ac:dyDescent="0.25">
      <c r="B42" s="19" t="s">
        <v>70</v>
      </c>
      <c r="C42" s="19"/>
      <c r="D42" s="20" t="s">
        <v>71</v>
      </c>
      <c r="E42" s="20"/>
      <c r="F42" s="20">
        <v>3</v>
      </c>
      <c r="G42" s="20"/>
    </row>
    <row r="43" spans="1:7" x14ac:dyDescent="0.25">
      <c r="B43" s="19" t="s">
        <v>79</v>
      </c>
      <c r="C43" s="19"/>
      <c r="D43" s="20" t="s">
        <v>80</v>
      </c>
      <c r="E43" s="20"/>
      <c r="F43" s="20">
        <v>2</v>
      </c>
      <c r="G43" s="20"/>
    </row>
    <row r="44" spans="1:7" ht="18" customHeight="1" x14ac:dyDescent="0.25">
      <c r="A44" s="4" t="s">
        <v>12</v>
      </c>
      <c r="B44" s="4"/>
      <c r="C44" s="4"/>
      <c r="D44" s="4"/>
      <c r="E44" s="4"/>
      <c r="F44" s="4"/>
      <c r="G44" s="4"/>
    </row>
    <row r="45" spans="1:7" ht="90.6" customHeight="1" x14ac:dyDescent="0.25">
      <c r="A45" s="12" t="s">
        <v>27</v>
      </c>
      <c r="B45" s="41" t="s">
        <v>81</v>
      </c>
      <c r="C45" s="41"/>
      <c r="D45" s="41"/>
      <c r="E45" s="41"/>
      <c r="F45" s="41"/>
      <c r="G45" s="41"/>
    </row>
    <row r="46" spans="1:7" ht="18.95" customHeight="1" x14ac:dyDescent="0.25">
      <c r="A46" s="12" t="s">
        <v>46</v>
      </c>
      <c r="B46" s="41" t="s">
        <v>67</v>
      </c>
      <c r="C46" s="41"/>
      <c r="D46" s="41"/>
      <c r="E46" s="41"/>
      <c r="F46" s="41"/>
      <c r="G46" s="41"/>
    </row>
    <row r="47" spans="1:7" ht="18.600000000000001" customHeight="1" x14ac:dyDescent="0.25">
      <c r="A47" s="12" t="s">
        <v>41</v>
      </c>
      <c r="B47" s="41" t="s">
        <v>67</v>
      </c>
      <c r="C47" s="41"/>
      <c r="D47" s="41"/>
      <c r="E47" s="41"/>
      <c r="F47" s="41"/>
      <c r="G47" s="41"/>
    </row>
    <row r="48" spans="1:7" s="2" customFormat="1" ht="29.1" customHeight="1" x14ac:dyDescent="0.25">
      <c r="A48" s="16" t="s">
        <v>42</v>
      </c>
      <c r="B48" s="52" t="s">
        <v>83</v>
      </c>
      <c r="C48" s="52"/>
      <c r="D48" s="52"/>
      <c r="E48" s="52"/>
      <c r="F48" s="52"/>
      <c r="G48" s="52"/>
    </row>
    <row r="49" spans="1:7" s="2" customFormat="1" ht="33" customHeight="1" x14ac:dyDescent="0.25">
      <c r="A49" s="16" t="s">
        <v>54</v>
      </c>
      <c r="B49" s="54" t="s">
        <v>82</v>
      </c>
      <c r="C49" s="55"/>
      <c r="D49" s="55"/>
      <c r="E49" s="55"/>
      <c r="F49" s="55"/>
      <c r="G49" s="56"/>
    </row>
    <row r="50" spans="1:7" s="2" customFormat="1" ht="92.45" customHeight="1" x14ac:dyDescent="0.25">
      <c r="A50" s="16" t="s">
        <v>24</v>
      </c>
      <c r="B50" s="52" t="s">
        <v>93</v>
      </c>
      <c r="C50" s="52"/>
      <c r="D50" s="52"/>
      <c r="E50" s="52"/>
      <c r="F50" s="52"/>
      <c r="G50" s="52"/>
    </row>
    <row r="51" spans="1:7" s="2" customFormat="1" ht="30" customHeight="1" x14ac:dyDescent="0.25">
      <c r="A51" s="16" t="s">
        <v>38</v>
      </c>
      <c r="B51" s="52" t="s">
        <v>84</v>
      </c>
      <c r="C51" s="52"/>
      <c r="D51" s="52"/>
      <c r="E51" s="52"/>
      <c r="F51" s="52"/>
      <c r="G51" s="52"/>
    </row>
    <row r="52" spans="1:7" ht="19.5" customHeight="1" x14ac:dyDescent="0.25">
      <c r="A52" s="12" t="s">
        <v>45</v>
      </c>
      <c r="B52" s="53" t="s">
        <v>67</v>
      </c>
      <c r="C52" s="37"/>
      <c r="D52" s="37"/>
      <c r="E52" s="37"/>
      <c r="F52" s="37"/>
      <c r="G52" s="38"/>
    </row>
    <row r="53" spans="1:7" ht="21.95" customHeight="1" x14ac:dyDescent="0.25">
      <c r="A53" s="12" t="s">
        <v>39</v>
      </c>
      <c r="B53" s="19" t="s">
        <v>55</v>
      </c>
      <c r="C53" s="19"/>
      <c r="D53" s="19"/>
      <c r="E53" s="19"/>
      <c r="F53" s="19"/>
      <c r="G53" s="19"/>
    </row>
    <row r="54" spans="1:7" s="2" customFormat="1" ht="29.45" customHeight="1" x14ac:dyDescent="0.25">
      <c r="A54" s="16" t="s">
        <v>50</v>
      </c>
      <c r="B54" s="52" t="s">
        <v>89</v>
      </c>
      <c r="C54" s="52"/>
      <c r="D54" s="52"/>
      <c r="E54" s="52"/>
      <c r="F54" s="52"/>
      <c r="G54" s="52"/>
    </row>
    <row r="55" spans="1:7" ht="20.45" customHeight="1" x14ac:dyDescent="0.25">
      <c r="A55" s="12" t="s">
        <v>72</v>
      </c>
      <c r="B55" s="41" t="s">
        <v>67</v>
      </c>
      <c r="C55" s="41"/>
      <c r="D55" s="41"/>
      <c r="E55" s="41"/>
      <c r="F55" s="41"/>
      <c r="G55" s="41"/>
    </row>
    <row r="56" spans="1:7" ht="19.5" customHeight="1" x14ac:dyDescent="0.25">
      <c r="A56" s="12" t="s">
        <v>77</v>
      </c>
      <c r="B56" s="42" t="s">
        <v>67</v>
      </c>
      <c r="C56" s="42"/>
      <c r="D56" s="42"/>
      <c r="E56" s="42"/>
      <c r="F56" s="42"/>
      <c r="G56" s="42"/>
    </row>
    <row r="57" spans="1:7" ht="20.100000000000001" customHeight="1" x14ac:dyDescent="0.25">
      <c r="A57" s="12" t="s">
        <v>58</v>
      </c>
      <c r="B57" s="45" t="s">
        <v>85</v>
      </c>
      <c r="C57" s="45"/>
      <c r="D57" s="45"/>
      <c r="E57" s="45"/>
      <c r="F57" s="45"/>
      <c r="G57" s="45"/>
    </row>
    <row r="58" spans="1:7" ht="24" customHeight="1" x14ac:dyDescent="0.25">
      <c r="A58" s="12" t="s">
        <v>56</v>
      </c>
      <c r="B58" s="45" t="s">
        <v>85</v>
      </c>
      <c r="C58" s="45"/>
      <c r="D58" s="45"/>
      <c r="E58" s="45"/>
      <c r="F58" s="45"/>
      <c r="G58" s="45"/>
    </row>
    <row r="59" spans="1:7" ht="32.450000000000003" customHeight="1" x14ac:dyDescent="0.25">
      <c r="A59" s="12" t="s">
        <v>73</v>
      </c>
      <c r="B59" s="46" t="s">
        <v>67</v>
      </c>
      <c r="C59" s="47"/>
      <c r="D59" s="47"/>
      <c r="E59" s="47"/>
      <c r="F59" s="47"/>
      <c r="G59" s="48"/>
    </row>
    <row r="60" spans="1:7" s="2" customFormat="1" ht="18.95" customHeight="1" x14ac:dyDescent="0.25">
      <c r="A60" s="16" t="s">
        <v>59</v>
      </c>
      <c r="B60" s="43" t="s">
        <v>86</v>
      </c>
      <c r="C60" s="43"/>
      <c r="D60" s="43"/>
      <c r="E60" s="43"/>
      <c r="F60" s="43"/>
      <c r="G60" s="43"/>
    </row>
    <row r="61" spans="1:7" s="2" customFormat="1" ht="18.600000000000001" customHeight="1" x14ac:dyDescent="0.25">
      <c r="A61" s="16" t="s">
        <v>61</v>
      </c>
      <c r="B61" s="44" t="s">
        <v>87</v>
      </c>
      <c r="C61" s="44"/>
      <c r="D61" s="44"/>
      <c r="E61" s="44"/>
      <c r="F61" s="44"/>
      <c r="G61" s="44"/>
    </row>
    <row r="62" spans="1:7" ht="29.1" customHeight="1" x14ac:dyDescent="0.25">
      <c r="A62" s="12" t="s">
        <v>63</v>
      </c>
      <c r="B62" s="45" t="s">
        <v>88</v>
      </c>
      <c r="C62" s="45"/>
      <c r="D62" s="45"/>
      <c r="E62" s="45"/>
      <c r="F62" s="45"/>
      <c r="G62" s="45"/>
    </row>
    <row r="63" spans="1:7" ht="30.6" customHeight="1" x14ac:dyDescent="0.25">
      <c r="A63" s="12" t="s">
        <v>68</v>
      </c>
      <c r="B63" s="51" t="s">
        <v>94</v>
      </c>
      <c r="C63" s="51"/>
      <c r="D63" s="51"/>
      <c r="E63" s="51"/>
      <c r="F63" s="51"/>
      <c r="G63" s="51"/>
    </row>
    <row r="64" spans="1:7" s="2" customFormat="1" ht="30" customHeight="1" x14ac:dyDescent="0.25">
      <c r="A64" s="16" t="s">
        <v>70</v>
      </c>
      <c r="B64" s="45" t="s">
        <v>92</v>
      </c>
      <c r="C64" s="45"/>
      <c r="D64" s="45"/>
      <c r="E64" s="45"/>
      <c r="F64" s="45"/>
      <c r="G64" s="45"/>
    </row>
    <row r="65" spans="1:7" ht="18.600000000000001" customHeight="1" x14ac:dyDescent="0.25">
      <c r="A65" s="18" t="s">
        <v>79</v>
      </c>
      <c r="B65" s="46" t="s">
        <v>90</v>
      </c>
      <c r="C65" s="47"/>
      <c r="D65" s="47"/>
      <c r="E65" s="47"/>
      <c r="F65" s="47"/>
      <c r="G65" s="47"/>
    </row>
    <row r="66" spans="1:7" x14ac:dyDescent="0.25">
      <c r="A66" s="4" t="s">
        <v>28</v>
      </c>
      <c r="B66" s="19"/>
      <c r="C66" s="19"/>
      <c r="D66" s="19"/>
      <c r="E66" s="19"/>
      <c r="F66" s="19"/>
      <c r="G66" s="19"/>
    </row>
    <row r="67" spans="1:7" ht="30.6" customHeight="1" x14ac:dyDescent="0.25">
      <c r="A67" s="36" t="s">
        <v>91</v>
      </c>
      <c r="B67" s="37"/>
      <c r="C67" s="37"/>
      <c r="D67" s="37"/>
      <c r="E67" s="37"/>
      <c r="F67" s="37"/>
      <c r="G67" s="38"/>
    </row>
    <row r="68" spans="1:7" ht="18" customHeight="1" x14ac:dyDescent="0.25">
      <c r="A68" s="49" t="s">
        <v>78</v>
      </c>
      <c r="B68" s="50"/>
      <c r="C68" s="50"/>
      <c r="D68" s="50"/>
      <c r="E68" s="50"/>
      <c r="F68" s="50"/>
      <c r="G68" s="50"/>
    </row>
    <row r="69" spans="1:7" x14ac:dyDescent="0.25">
      <c r="A69" s="4" t="s">
        <v>29</v>
      </c>
    </row>
    <row r="70" spans="1:7" ht="44.25" customHeight="1" x14ac:dyDescent="0.25">
      <c r="A70" s="36" t="s">
        <v>95</v>
      </c>
      <c r="B70" s="37"/>
      <c r="C70" s="37"/>
      <c r="D70" s="37"/>
      <c r="E70" s="37"/>
      <c r="F70" s="37"/>
      <c r="G70" s="38"/>
    </row>
    <row r="71" spans="1:7" ht="18" customHeight="1" x14ac:dyDescent="0.25">
      <c r="A71" s="14"/>
      <c r="B71" s="13"/>
      <c r="C71" s="13"/>
      <c r="D71" s="13"/>
      <c r="E71" s="13"/>
      <c r="F71" s="13"/>
      <c r="G71" s="13"/>
    </row>
    <row r="72" spans="1:7" ht="18.75" customHeight="1" x14ac:dyDescent="0.25">
      <c r="A72" s="39" t="s">
        <v>30</v>
      </c>
      <c r="B72" s="40"/>
      <c r="C72" s="40"/>
      <c r="D72" s="40"/>
      <c r="E72" s="40"/>
      <c r="F72" s="40"/>
      <c r="G72" s="40"/>
    </row>
    <row r="73" spans="1:7" x14ac:dyDescent="0.25">
      <c r="A73" t="s">
        <v>47</v>
      </c>
    </row>
  </sheetData>
  <mergeCells count="103">
    <mergeCell ref="B41:C41"/>
    <mergeCell ref="D41:E41"/>
    <mergeCell ref="F41:G41"/>
    <mergeCell ref="B51:G51"/>
    <mergeCell ref="B53:G53"/>
    <mergeCell ref="B52:G52"/>
    <mergeCell ref="B54:G54"/>
    <mergeCell ref="B45:G45"/>
    <mergeCell ref="B46:G46"/>
    <mergeCell ref="B47:G47"/>
    <mergeCell ref="B48:G48"/>
    <mergeCell ref="B50:G50"/>
    <mergeCell ref="B49:G49"/>
    <mergeCell ref="B42:C42"/>
    <mergeCell ref="D42:E42"/>
    <mergeCell ref="B43:C43"/>
    <mergeCell ref="D43:E43"/>
    <mergeCell ref="F43:G43"/>
    <mergeCell ref="F42:G42"/>
    <mergeCell ref="A67:G67"/>
    <mergeCell ref="A70:G70"/>
    <mergeCell ref="A72:G72"/>
    <mergeCell ref="B55:G55"/>
    <mergeCell ref="B56:G56"/>
    <mergeCell ref="B60:G60"/>
    <mergeCell ref="B61:G61"/>
    <mergeCell ref="B62:G62"/>
    <mergeCell ref="B57:G57"/>
    <mergeCell ref="B58:G58"/>
    <mergeCell ref="B59:G59"/>
    <mergeCell ref="A68:G68"/>
    <mergeCell ref="B66:G66"/>
    <mergeCell ref="B64:G64"/>
    <mergeCell ref="B63:G63"/>
    <mergeCell ref="B65:G65"/>
    <mergeCell ref="A1:G1"/>
    <mergeCell ref="E3:F3"/>
    <mergeCell ref="B21:C22"/>
    <mergeCell ref="D21:E22"/>
    <mergeCell ref="F21:G22"/>
    <mergeCell ref="A6:G6"/>
    <mergeCell ref="B5:G5"/>
    <mergeCell ref="B7:G7"/>
    <mergeCell ref="B9:G9"/>
    <mergeCell ref="B11:G11"/>
    <mergeCell ref="A8:G8"/>
    <mergeCell ref="A10:G10"/>
    <mergeCell ref="B18:G18"/>
    <mergeCell ref="A12:G12"/>
    <mergeCell ref="B34:C34"/>
    <mergeCell ref="D34:E34"/>
    <mergeCell ref="F34:G34"/>
    <mergeCell ref="B23:C23"/>
    <mergeCell ref="F23:G23"/>
    <mergeCell ref="F29:G29"/>
    <mergeCell ref="B24:C24"/>
    <mergeCell ref="B26:C26"/>
    <mergeCell ref="D23:E23"/>
    <mergeCell ref="D24:E24"/>
    <mergeCell ref="F24:G24"/>
    <mergeCell ref="B25:C25"/>
    <mergeCell ref="B29:C29"/>
    <mergeCell ref="D29:E29"/>
    <mergeCell ref="D25:E25"/>
    <mergeCell ref="F25:G25"/>
    <mergeCell ref="D26:E26"/>
    <mergeCell ref="B28:C28"/>
    <mergeCell ref="D28:E28"/>
    <mergeCell ref="F28:G28"/>
    <mergeCell ref="F26:G26"/>
    <mergeCell ref="B27:C27"/>
    <mergeCell ref="D27:E27"/>
    <mergeCell ref="F27:G27"/>
    <mergeCell ref="F30:G30"/>
    <mergeCell ref="D30:E30"/>
    <mergeCell ref="B30:C30"/>
    <mergeCell ref="B33:C33"/>
    <mergeCell ref="D33:E33"/>
    <mergeCell ref="F33:G33"/>
    <mergeCell ref="B31:C31"/>
    <mergeCell ref="D31:E31"/>
    <mergeCell ref="F31:G31"/>
    <mergeCell ref="B32:C32"/>
    <mergeCell ref="D32:E32"/>
    <mergeCell ref="F32:G32"/>
    <mergeCell ref="B35:C35"/>
    <mergeCell ref="D35:E35"/>
    <mergeCell ref="F35:G35"/>
    <mergeCell ref="B38:C38"/>
    <mergeCell ref="D38:E38"/>
    <mergeCell ref="F38:G38"/>
    <mergeCell ref="B37:C37"/>
    <mergeCell ref="D37:E37"/>
    <mergeCell ref="F37:G37"/>
    <mergeCell ref="B40:C40"/>
    <mergeCell ref="D40:E40"/>
    <mergeCell ref="F40:G40"/>
    <mergeCell ref="B39:C39"/>
    <mergeCell ref="D39:E39"/>
    <mergeCell ref="F39:G39"/>
    <mergeCell ref="B36:C36"/>
    <mergeCell ref="D36:E36"/>
    <mergeCell ref="F36:G36"/>
  </mergeCells>
  <printOptions horizontalCentered="1" gridLines="1"/>
  <pageMargins left="0.25" right="0.25" top="0.75" bottom="0.75" header="0.3" footer="0.3"/>
  <pageSetup scale="90" orientation="portrait" r:id="rId1"/>
  <headerFooter differentOddEven="1"/>
  <rowBreaks count="1" manualBreakCount="1">
    <brk id="46" max="16383" man="1"/>
  </rowBreaks>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F60A-B488-4875-A770-358887853945}">
  <dimension ref="A10:G12"/>
  <sheetViews>
    <sheetView workbookViewId="0">
      <selection activeCell="A11" sqref="A11:G11"/>
    </sheetView>
  </sheetViews>
  <sheetFormatPr defaultRowHeight="15" x14ac:dyDescent="0.25"/>
  <sheetData>
    <row r="10" spans="1:7" ht="18" customHeight="1" x14ac:dyDescent="0.25">
      <c r="A10" s="4" t="s">
        <v>12</v>
      </c>
    </row>
    <row r="11" spans="1:7" ht="324.95" customHeight="1" x14ac:dyDescent="0.25">
      <c r="A11" s="57"/>
      <c r="B11" s="58"/>
      <c r="C11" s="58"/>
      <c r="D11" s="58"/>
      <c r="E11" s="58"/>
      <c r="F11" s="58"/>
      <c r="G11" s="59"/>
    </row>
    <row r="12" spans="1:7" ht="14.25" customHeight="1" x14ac:dyDescent="0.25">
      <c r="A12" t="s">
        <v>14</v>
      </c>
    </row>
  </sheetData>
  <mergeCells count="1">
    <mergeCell ref="A11:G11"/>
  </mergeCells>
  <pageMargins left="0.7" right="0.7" top="0.75" bottom="0.75" header="0.3" footer="0.3"/>
  <pageSetup orientation="portrait" r:id="rId1"/>
</worksheet>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Sheet1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2025-01-17T17:32:49Z</cp:lastPrinted>
  <dcterms:created xsi:type="dcterms:W3CDTF">2013-02-19T18:19:40Z</dcterms:created>
  <dcterms:modified xsi:type="dcterms:W3CDTF">2025-10-28T15:01:53Z</dcterms:modified>
</cp:coreProperties>
</file>